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ed List" sheetId="1" state="visible" r:id="rId3"/>
    <sheet name="Scraper Targets" sheetId="2" state="visible" r:id="rId4"/>
    <sheet name="Manual Call 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<sst xmlns="http://schemas.openxmlformats.org/spreadsheetml/2006/main" count="481" uniqueCount="266">
  <si>
    <t xml:space="preserve">#</t>
  </si>
  <si>
    <t xml:space="preserve">Gym</t>
  </si>
  <si>
    <t xml:space="preserve">Region</t>
  </si>
  <si>
    <t xml:space="preserve">Category</t>
  </si>
  <si>
    <t xml:space="preserve">Data Source</t>
  </si>
  <si>
    <t xml:space="preserve">Monthly ($)</t>
  </si>
  <si>
    <t xml:space="preserve">Enroll Fee ($)</t>
  </si>
  <si>
    <t xml:space="preserve">Annual Fee ($)</t>
  </si>
  <si>
    <t xml:space="preserve">Commitment</t>
  </si>
  <si>
    <t xml:space="preserve">Day Pass ($)</t>
  </si>
  <si>
    <t xml:space="preserve">Known Pricing Notes</t>
  </si>
  <si>
    <t xml:space="preserve">Website</t>
  </si>
  <si>
    <t xml:space="preserve">Status</t>
  </si>
  <si>
    <t xml:space="preserve">Gold's Gym Downtown</t>
  </si>
  <si>
    <t xml:space="preserve">Downtown</t>
  </si>
  <si>
    <t xml:space="preserve">Gym / weights</t>
  </si>
  <si>
    <t xml:space="preserve">Scrape</t>
  </si>
  <si>
    <t xml:space="preserve">Varies</t>
  </si>
  <si>
    <t xml:space="preserve">Verify tiers; downtown flagship at 6th St. Fees estimated from chain norms — confirm.</t>
  </si>
  <si>
    <t xml:space="preserve">goldsgym.com</t>
  </si>
  <si>
    <t xml:space="preserve">Have price</t>
  </si>
  <si>
    <t xml:space="preserve">Castle Hill Fitness</t>
  </si>
  <si>
    <t xml:space="preserve">Gym + classes</t>
  </si>
  <si>
    <t xml:space="preserve">Month-to-month</t>
  </si>
  <si>
    <t xml:space="preserve">$149 enrollment currently waived promo; tiers $89-199; student/senior/military 20% off; 3-day local trial.</t>
  </si>
  <si>
    <t xml:space="preserve">castlehillfitness.com</t>
  </si>
  <si>
    <t xml:space="preserve">Life Time Downtown</t>
  </si>
  <si>
    <t xml:space="preserve">Luxury club</t>
  </si>
  <si>
    <t xml:space="preserve">Downtown location pricing not confirmed; South=$259, North=$219. Expect $250+.</t>
  </si>
  <si>
    <t xml:space="preserve">lifetime.life</t>
  </si>
  <si>
    <t xml:space="preserve">Need price</t>
  </si>
  <si>
    <t xml:space="preserve">Equinox Austin (SoCo)</t>
  </si>
  <si>
    <t xml:space="preserve">Manual</t>
  </si>
  <si>
    <t xml:space="preserve">No public pricing — consult-gated. Expect $250-350/mo based on national rates. Call.</t>
  </si>
  <si>
    <t xml:space="preserve">equinox.com</t>
  </si>
  <si>
    <t xml:space="preserve">Barry's Austin</t>
  </si>
  <si>
    <t xml:space="preserve">HIIT classes</t>
  </si>
  <si>
    <t xml:space="preserve">Class-pack model; intro offer exists. Get pack pricing.</t>
  </si>
  <si>
    <t xml:space="preserve">barrys.com</t>
  </si>
  <si>
    <t xml:space="preserve">Studio Three</t>
  </si>
  <si>
    <t xml:space="preserve">HIIT/yoga/cycle</t>
  </si>
  <si>
    <t xml:space="preserve">Three studios one roof; intro offer. Pack + unlimited pricing needed.</t>
  </si>
  <si>
    <t xml:space="preserve">studiothree.com</t>
  </si>
  <si>
    <t xml:space="preserve">F45 Downtown</t>
  </si>
  <si>
    <t xml:space="preserve">Franchise pricing varies per location. Call.</t>
  </si>
  <si>
    <t xml:space="preserve">f45training.com</t>
  </si>
  <si>
    <t xml:space="preserve">[solidcore] Austin</t>
  </si>
  <si>
    <t xml:space="preserve">Pilates</t>
  </si>
  <si>
    <t xml:space="preserve">Class packs; national brand, prices vary by studio.</t>
  </si>
  <si>
    <t xml:space="preserve">solidcore.co</t>
  </si>
  <si>
    <t xml:space="preserve">Lift ATX</t>
  </si>
  <si>
    <t xml:space="preserve">~$40/mo per local coverage. Confirm fees.</t>
  </si>
  <si>
    <t xml:space="preserve">liftatx.com</t>
  </si>
  <si>
    <t xml:space="preserve">FeV Iron Vault Gym</t>
  </si>
  <si>
    <t xml:space="preserve">Lifting-focused; top Yelp result. Pricing not public.</t>
  </si>
  <si>
    <t xml:space="preserve">fevgym.com</t>
  </si>
  <si>
    <t xml:space="preserve">Planet Fitness E. Riverside</t>
  </si>
  <si>
    <t xml:space="preserve">East Austin</t>
  </si>
  <si>
    <t xml:space="preserve">None ($15 tier)</t>
  </si>
  <si>
    <t xml:space="preserve">$15 Classic / $24.99 Black Card; $1 startup promos common; annual fee ~$49.</t>
  </si>
  <si>
    <t xml:space="preserve">planetfitness.com</t>
  </si>
  <si>
    <t xml:space="preserve">East Austin Athletic Club</t>
  </si>
  <si>
    <t xml:space="preserve">Classes + boxing</t>
  </si>
  <si>
    <t xml:space="preserve">1-week notice</t>
  </si>
  <si>
    <t xml:space="preserve">$159/mo unlimited classes; no contracts; 7-workouts-$20 intro.</t>
  </si>
  <si>
    <t xml:space="preserve">eastaustinathleticclub.com</t>
  </si>
  <si>
    <t xml:space="preserve">Austin Bouldering Project</t>
  </si>
  <si>
    <t xml:space="preserve">Climbing</t>
  </si>
  <si>
    <t xml:space="preserve">50k sqft bouldering + yoga + fitness. Membership tiers on site.</t>
  </si>
  <si>
    <t xml:space="preserve">austinboulderingproject.com</t>
  </si>
  <si>
    <t xml:space="preserve">Onnit Gym (Korrect Fitness)</t>
  </si>
  <si>
    <t xml:space="preserve">Rebranded to Korrect Fitness 2025; 4401 Freidrich Ln. Verify name + pricing.</t>
  </si>
  <si>
    <t xml:space="preserve">korrectfitness.com</t>
  </si>
  <si>
    <t xml:space="preserve">Travis County Strength</t>
  </si>
  <si>
    <t xml:space="preserve">Strength coaching</t>
  </si>
  <si>
    <t xml:space="preserve">$80/4 visits, $160/8, $240 unlimited (2023 data — verify).</t>
  </si>
  <si>
    <t xml:space="preserve">traviscountystrength.com</t>
  </si>
  <si>
    <t xml:space="preserve">Big Tex Gym</t>
  </si>
  <si>
    <t xml:space="preserve">North Loop</t>
  </si>
  <si>
    <t xml:space="preserve">$45/yr maintenance fee charged 75 days after signup. 24/7 key tag. Verify day pass.</t>
  </si>
  <si>
    <t xml:space="preserve">bigtexgym.com</t>
  </si>
  <si>
    <t xml:space="preserve">Hyde Park Gym</t>
  </si>
  <si>
    <t xml:space="preserve">Hyde Park</t>
  </si>
  <si>
    <t xml:space="preserve">1yr/6mo/3mo/punchcard/week/visit options on site; free 7-day pass. Confirm rates.</t>
  </si>
  <si>
    <t xml:space="preserve">hydeparkgym.com</t>
  </si>
  <si>
    <t xml:space="preserve">Grassiron</t>
  </si>
  <si>
    <t xml:space="preserve">Personal training</t>
  </si>
  <si>
    <t xml:space="preserve">$189-299/mo PT-based tiers (2023 data — verify).</t>
  </si>
  <si>
    <t xml:space="preserve">grassiron.com</t>
  </si>
  <si>
    <t xml:space="preserve">Curves / Anytime Fitness N. Loop</t>
  </si>
  <si>
    <t xml:space="preserve">Franchise pricing varies. Call location.</t>
  </si>
  <si>
    <t xml:space="preserve">anytimefitness.com</t>
  </si>
  <si>
    <t xml:space="preserve">Life Time South</t>
  </si>
  <si>
    <t xml:space="preserve">South / SoCo</t>
  </si>
  <si>
    <t xml:space="preserve">$259/mo confirmed on site; month-to-month, 30-day cancel notice.</t>
  </si>
  <si>
    <t xml:space="preserve">Crunch South Austin</t>
  </si>
  <si>
    <t xml:space="preserve">12mo on Base</t>
  </si>
  <si>
    <t xml:space="preserve">$9.99 Base w/ 12-mo commit; Peak ~$27; Peak Results ~$35; enrollment + annual fees vary.</t>
  </si>
  <si>
    <t xml:space="preserve">crunch.com</t>
  </si>
  <si>
    <t xml:space="preserve">Kollective</t>
  </si>
  <si>
    <t xml:space="preserve">Luxury social club</t>
  </si>
  <si>
    <t xml:space="preserve">$399-500/mo reported; membership application model. Confirm current rate + initiation.</t>
  </si>
  <si>
    <t xml:space="preserve">kollective.com</t>
  </si>
  <si>
    <t xml:space="preserve">Atomic Athlete</t>
  </si>
  <si>
    <t xml:space="preserve">Strength + classes</t>
  </si>
  <si>
    <t xml:space="preserve">HQ south location; open gym 5am-11pm + classes. Pricing partially public — verify.</t>
  </si>
  <si>
    <t xml:space="preserve">atomic-athlete.com</t>
  </si>
  <si>
    <t xml:space="preserve">CrossFit Austin</t>
  </si>
  <si>
    <t xml:space="preserve">CrossFit</t>
  </si>
  <si>
    <t xml:space="preserve">8708 S Congress. Class-based tiers. Call.</t>
  </si>
  <si>
    <t xml:space="preserve">crossfitaustin.com</t>
  </si>
  <si>
    <t xml:space="preserve">Crux Climbing Center South</t>
  </si>
  <si>
    <t xml:space="preserve">Rates page public; gear rental $23/mo; locker $10/mo. Pull membership tiers.</t>
  </si>
  <si>
    <t xml:space="preserve">cruxclimbingcenter.com</t>
  </si>
  <si>
    <t xml:space="preserve">Rumble Boxing S. Austin</t>
  </si>
  <si>
    <t xml:space="preserve">Boxing classes</t>
  </si>
  <si>
    <t xml:space="preserve">Class packs. Call.</t>
  </si>
  <si>
    <t xml:space="preserve">rumbleboxinggym.com</t>
  </si>
  <si>
    <t xml:space="preserve">Los Campeones South</t>
  </si>
  <si>
    <t xml:space="preserve">No contract</t>
  </si>
  <si>
    <t xml:space="preserve">$89/mo no contract all access; opens 4am weekdays.</t>
  </si>
  <si>
    <t xml:space="preserve">loscampeonesaustin.com</t>
  </si>
  <si>
    <t xml:space="preserve">Los Campeones North</t>
  </si>
  <si>
    <t xml:space="preserve">Mueller</t>
  </si>
  <si>
    <t xml:space="preserve">Same $89 no-contract structure as South.</t>
  </si>
  <si>
    <t xml:space="preserve">Gold's Gym North (Burnet)</t>
  </si>
  <si>
    <t xml:space="preserve">New 30k sqft flagship on Burnet Rd (2025). Verify tiers.</t>
  </si>
  <si>
    <t xml:space="preserve">Orangetheory Austin</t>
  </si>
  <si>
    <t xml:space="preserve">Class-based: Basic/Elite/Premier tiers. Varies by studio. Call.</t>
  </si>
  <si>
    <t xml:space="preserve">orangetheory.com</t>
  </si>
  <si>
    <t xml:space="preserve">YMCA (Greater Austin)</t>
  </si>
  <si>
    <t xml:space="preserve">Community gym</t>
  </si>
  <si>
    <t xml:space="preserve">30-day notice</t>
  </si>
  <si>
    <t xml:space="preserve">$25-114/mo range published; rate calculator on site; financial assistance available.</t>
  </si>
  <si>
    <t xml:space="preserve">austinymca.org</t>
  </si>
  <si>
    <t xml:space="preserve">24 Hour Fitness Austin Sport</t>
  </si>
  <si>
    <t xml:space="preserve">$9.99-64.99/mo depending on tier/location; $49.99-69.99 annual fee; $1 initiation promos.</t>
  </si>
  <si>
    <t xml:space="preserve">24hourfitness.com</t>
  </si>
  <si>
    <t xml:space="preserve">Life Time North (Domain area)</t>
  </si>
  <si>
    <t xml:space="preserve">The Domain</t>
  </si>
  <si>
    <t xml:space="preserve">$219/mo confirmed on site.</t>
  </si>
  <si>
    <t xml:space="preserve">Equinox Domain</t>
  </si>
  <si>
    <t xml:space="preserve">If open — verify location exists before listing. Consult-gated pricing.</t>
  </si>
  <si>
    <t xml:space="preserve">LA Fitness (Domain area)</t>
  </si>
  <si>
    <t xml:space="preserve">~$30-45/mo national range; multi-club vs single-club tiers.</t>
  </si>
  <si>
    <t xml:space="preserve">lafitness.com</t>
  </si>
  <si>
    <t xml:space="preserve">EOS Fitness (Parmer - 2027)</t>
  </si>
  <si>
    <t xml:space="preserve">NOT OPEN until 2027 — placeholder only. Exclude from v1.</t>
  </si>
  <si>
    <t xml:space="preserve">eosfitness.com</t>
  </si>
  <si>
    <t xml:space="preserve">Black Swan Yoga (Downtown)</t>
  </si>
  <si>
    <t xml:space="preserve">Yoga</t>
  </si>
  <si>
    <t xml:space="preserve">Donation-based model — schema edge case: price = 'donation ($12-18 suggested)'.</t>
  </si>
  <si>
    <t xml:space="preserve">blackswanyoga.com</t>
  </si>
  <si>
    <t xml:space="preserve">CorePower Yoga Austin</t>
  </si>
  <si>
    <t xml:space="preserve">National chain; all-access memberships + packs. Varies by studio.</t>
  </si>
  <si>
    <t xml:space="preserve">corepoweryoga.com</t>
  </si>
  <si>
    <t xml:space="preserve">Club Pilates (multiple)</t>
  </si>
  <si>
    <t xml:space="preserve">Franchise; 4/8/unlimited packs. Call nearest studio.</t>
  </si>
  <si>
    <t xml:space="preserve">clubpilates.com</t>
  </si>
  <si>
    <t xml:space="preserve">10th Planet Jiu Jitsu Austin</t>
  </si>
  <si>
    <t xml:space="preserve">BJJ / MMA</t>
  </si>
  <si>
    <t xml:space="preserve">BJJ memberships rarely public. Call.</t>
  </si>
  <si>
    <t xml:space="preserve">10thplanetaustin.com</t>
  </si>
  <si>
    <t xml:space="preserve">SUMMARY</t>
  </si>
  <si>
    <t xml:space="preserve">Total gyms in v1 seed:</t>
  </si>
  <si>
    <t xml:space="preserve">Scrapeable:</t>
  </si>
  <si>
    <t xml:space="preserve">Manual collection:</t>
  </si>
  <si>
    <t xml:space="preserve">Prices already in hand:</t>
  </si>
  <si>
    <t xml:space="preserve">Prices still needed:</t>
  </si>
  <si>
    <t xml:space="preserve">All prices sourced from public gym websites + press coverage, Aug 2026 research. VERIFY EVERY NUMBER against the gym's live site before launch — several are 2023-era or estimated (flagged in notes).</t>
  </si>
  <si>
    <t xml:space="preserve">LEGEND</t>
  </si>
  <si>
    <t xml:space="preserve">Data Source = Scrape: prices are public on the gym's website; a Firecrawl job can pull them automatically.</t>
  </si>
  <si>
    <t xml:space="preserve">Data Source = Manual: pricing is consult-gated; collect once by phone/email/visit, keep fresh via user reports.</t>
  </si>
  <si>
    <t xml:space="preserve">Fill in orange 'Need price' cells as you collect. Monthly = cheapest standard ADULT plan, before fees.</t>
  </si>
  <si>
    <t xml:space="preserve">Commitment: contract length on the cheapest plan. Day Pass: single-visit walk-in rate.</t>
  </si>
  <si>
    <t xml:space="preserve">Scraper</t>
  </si>
  <si>
    <t xml:space="preserve">Covers (gyms in seed)</t>
  </si>
  <si>
    <t xml:space="preserve">Pricing URL pattern</t>
  </si>
  <si>
    <t xml:space="preserve">Complexity</t>
  </si>
  <si>
    <t xml:space="preserve">Notes</t>
  </si>
  <si>
    <t xml:space="preserve">planetfitness</t>
  </si>
  <si>
    <t xml:space="preserve">Planet Fitness (all ATX clubs)</t>
  </si>
  <si>
    <t xml:space="preserve">planetfitness.com/gyms/{club-slug}/offers</t>
  </si>
  <si>
    <t xml:space="preserve">Low</t>
  </si>
  <si>
    <t xml:space="preserve">Per-club offers page; fees itemized in FAQ accordions. One scraper covers every location.</t>
  </si>
  <si>
    <t xml:space="preserve">crunch</t>
  </si>
  <si>
    <t xml:space="preserve">Crunch (South Austin + future I-35)</t>
  </si>
  <si>
    <t xml:space="preserve">crunch.com/locations/{slug}</t>
  </si>
  <si>
    <t xml:space="preserve">Medium</t>
  </si>
  <si>
    <t xml:space="preserve">Tier prices sometimes JS-rendered; Firecrawl handles. Enrollment/annual fees in fine print.</t>
  </si>
  <si>
    <t xml:space="preserve">goldsgym</t>
  </si>
  <si>
    <t xml:space="preserve">Gold's Downtown + Burnet</t>
  </si>
  <si>
    <t xml:space="preserve">goldsgym.com club pages</t>
  </si>
  <si>
    <t xml:space="preserve">Franchise site; pricing sometimes behind 'join now' flow — scrape the checkout preview.</t>
  </si>
  <si>
    <t xml:space="preserve">lifetime</t>
  </si>
  <si>
    <t xml:space="preserve">Life Time x4 (DT/N/S/Arboretum)</t>
  </si>
  <si>
    <t xml:space="preserve">lifetime.life/locations/tx/{slug}.html</t>
  </si>
  <si>
    <t xml:space="preserve">Publishes starting rate in FAQ text. Clean.</t>
  </si>
  <si>
    <t xml:space="preserve">24hour</t>
  </si>
  <si>
    <t xml:space="preserve">24hourfitness.com/gyms/austin-tx/</t>
  </si>
  <si>
    <t xml:space="preserve">Tier pricing + $49.99-69.99 annual fee in offer fine print.</t>
  </si>
  <si>
    <t xml:space="preserve">ymca</t>
  </si>
  <si>
    <t xml:space="preserve">Greater Austin YMCA (all branches)</t>
  </si>
  <si>
    <t xml:space="preserve">austinymca.org/join</t>
  </si>
  <si>
    <t xml:space="preserve">Rate calculator — may need to scrape the ranges ($25-114) + per-branch table if exposed.</t>
  </si>
  <si>
    <t xml:space="preserve">lacampeones</t>
  </si>
  <si>
    <t xml:space="preserve">Los Campeones N+S</t>
  </si>
  <si>
    <t xml:space="preserve">loscampeonesaustin.com/austin-gym-memberships</t>
  </si>
  <si>
    <t xml:space="preserve">Flat $89 published in page copy.</t>
  </si>
  <si>
    <t xml:space="preserve">bigtex</t>
  </si>
  <si>
    <t xml:space="preserve">bigtexgym.com/membership</t>
  </si>
  <si>
    <t xml:space="preserve">All fees published incl. 75-day maintenance fee timing. Model citizen.</t>
  </si>
  <si>
    <t xml:space="preserve">castlehill</t>
  </si>
  <si>
    <t xml:space="preserve">castlehillfitness.com/memberships</t>
  </si>
  <si>
    <t xml:space="preserve">Tier range + enrollment promo state changes seasonally — scrape captures promo text.</t>
  </si>
  <si>
    <t xml:space="preserve">hydepark</t>
  </si>
  <si>
    <t xml:space="preserve">hydeparkgym.com/membership-info</t>
  </si>
  <si>
    <t xml:space="preserve">Simple rate card page.</t>
  </si>
  <si>
    <t xml:space="preserve">eaac</t>
  </si>
  <si>
    <t xml:space="preserve">eastaustinathleticclub.com/prices-1</t>
  </si>
  <si>
    <t xml:space="preserve">$159 unlimited published.</t>
  </si>
  <si>
    <t xml:space="preserve">crux</t>
  </si>
  <si>
    <t xml:space="preserve">Crux Climbing S. Austin</t>
  </si>
  <si>
    <t xml:space="preserve">cruxclimbingcenter.com/south-austin/rates</t>
  </si>
  <si>
    <t xml:space="preserve">Membership + add-ons (gear $23/mo, locker $10/mo) — schema needs add-on rows.</t>
  </si>
  <si>
    <t xml:space="preserve">abp</t>
  </si>
  <si>
    <t xml:space="preserve">Tiers on site; verify structure.</t>
  </si>
  <si>
    <t xml:space="preserve">lafitness</t>
  </si>
  <si>
    <t xml:space="preserve">LA Fitness (Domain)</t>
  </si>
  <si>
    <t xml:space="preserve">lafitness.com club pages</t>
  </si>
  <si>
    <t xml:space="preserve">Zip-gated pricing widget; may need location param.</t>
  </si>
  <si>
    <t xml:space="preserve">What to ask</t>
  </si>
  <si>
    <t xml:space="preserve">Phone/contact route</t>
  </si>
  <si>
    <t xml:space="preserve">Collected? (Y/N)</t>
  </si>
  <si>
    <t xml:space="preserve">Price found</t>
  </si>
  <si>
    <t xml:space="preserve">Monthly rate (cheapest adult), enrollment fee, annual fee, contract length, day pass price</t>
  </si>
  <si>
    <t xml:space="preserve">Front desk / membership advisor</t>
  </si>
  <si>
    <t xml:space="preserve">N</t>
  </si>
  <si>
    <t xml:space="preserve">Class pack prices (5/10/20), unlimited monthly, intro offer</t>
  </si>
  <si>
    <t xml:space="preserve">Studio front desk</t>
  </si>
  <si>
    <t xml:space="preserve">Same as Barry's — pack + unlimited across 3 studios</t>
  </si>
  <si>
    <t xml:space="preserve">Studio owner (franchise)</t>
  </si>
  <si>
    <t xml:space="preserve">[solidcore]</t>
  </si>
  <si>
    <t xml:space="preserve">Class pack + unlimited pricing</t>
  </si>
  <si>
    <t xml:space="preserve">FeV Iron Vault</t>
  </si>
  <si>
    <t xml:space="preserve">Front desk</t>
  </si>
  <si>
    <t xml:space="preserve">Current monthly rate, initiation fee, application process</t>
  </si>
  <si>
    <t xml:space="preserve">Membership team — expect sales flow</t>
  </si>
  <si>
    <t xml:space="preserve">Open-gym vs class membership tiers</t>
  </si>
  <si>
    <t xml:space="preserve">Email listed on site</t>
  </si>
  <si>
    <t xml:space="preserve">Unlimited monthly, 2-3x/week tier, drop-in rate</t>
  </si>
  <si>
    <t xml:space="preserve">Rumble Boxing</t>
  </si>
  <si>
    <t xml:space="preserve">Pack + unlimited pricing</t>
  </si>
  <si>
    <t xml:space="preserve">Orangetheory</t>
  </si>
  <si>
    <t xml:space="preserve">Basic (4)/Elite (8)/Premier (unlimited) monthly rates</t>
  </si>
  <si>
    <t xml:space="preserve">Korrect Fitness (ex-Onnit)</t>
  </si>
  <si>
    <t xml:space="preserve">Front desk — confirm rebrand</t>
  </si>
  <si>
    <t xml:space="preserve">10th Planet Jiu Jitsu</t>
  </si>
  <si>
    <t xml:space="preserve">Monthly unlimited, contract terms, drop-in</t>
  </si>
  <si>
    <t xml:space="preserve">Club Pilates</t>
  </si>
  <si>
    <t xml:space="preserve">4/8/unlimited monthly tiers</t>
  </si>
  <si>
    <t xml:space="preserve">CorePower Yoga</t>
  </si>
  <si>
    <t xml:space="preserve">All-access monthly + pack pricing</t>
  </si>
  <si>
    <t xml:space="preserve">Anytime Fitness N. Loop</t>
  </si>
  <si>
    <t xml:space="preserve">Club owner (franchise)</t>
  </si>
  <si>
    <t xml:space="preserve">Tip: visiting in person and asking for a rate sheet works better than calling — gyms deflect price questions on the phone. Day passes double as data-collection visits.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</si>
</sst>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BF5700"/>
      <name val="Arial"/>
      <family val="0"/>
      <charset val="1"/>
    </font>
    <font>
      <sz val="9"/>
      <color rgb="FF6B635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F5700"/>
        <bgColor rgb="FFFF6600"/>
      </patternFill>
    </fill>
    <fill>
      <patternFill patternType="solid">
        <fgColor rgb="FFE9F5EE"/>
        <bgColor rgb="FFF1EEEA"/>
      </patternFill>
    </fill>
    <fill>
      <patternFill patternType="solid">
        <fgColor rgb="FFFFF3E0"/>
        <bgColor rgb="FFF1EEEA"/>
      </patternFill>
    </fill>
    <fill>
      <patternFill patternType="solid">
        <fgColor rgb="FFF1EEEA"/>
        <bgColor rgb="FFECE7E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CE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9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EEA"/>
      <rgbColor rgb="FFECE7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35B"/>
      <rgbColor rgb="FF969696"/>
      <rgbColor rgb="FF003366"/>
      <rgbColor rgb="FF339966"/>
      <rgbColor rgb="FF003300"/>
      <rgbColor rgb="FF333300"/>
      <rgbColor rgb="FFBF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52"/>
    <col collapsed="false" customWidth="true" hidden="false" outlineLevel="0" max="12" min="12" style="0" width="34"/>
    <col collapsed="false" customWidth="true" hidden="false" outlineLevel="0" max="13" min="13" style="0" width="12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n">
        <v>1</v>
      </c>
      <c r="B2" s="2" t="s">
        <v>13</v>
      </c>
      <c r="C2" s="2" t="s">
        <v>14</v>
      </c>
      <c r="D2" s="2" t="s">
        <v>15</v>
      </c>
      <c r="E2" s="3" t="s">
        <v>16</v>
      </c>
      <c r="F2" s="2" t="n">
        <v>45</v>
      </c>
      <c r="G2" s="2" t="n">
        <v>49</v>
      </c>
      <c r="H2" s="2" t="n">
        <v>49</v>
      </c>
      <c r="I2" s="2" t="s">
        <v>17</v>
      </c>
      <c r="J2" s="2"/>
      <c r="K2" s="4" t="s">
        <v>18</v>
      </c>
      <c r="L2" s="2" t="s">
        <v>19</v>
      </c>
      <c r="M2" s="5" t="s">
        <v>20</v>
      </c>
    </row>
    <row r="3" customFormat="false" ht="23.85" hidden="false" customHeight="false" outlineLevel="0" collapsed="false">
      <c r="A3" s="2" t="n">
        <v>2</v>
      </c>
      <c r="B3" s="2" t="s">
        <v>21</v>
      </c>
      <c r="C3" s="2" t="s">
        <v>14</v>
      </c>
      <c r="D3" s="2" t="s">
        <v>22</v>
      </c>
      <c r="E3" s="3" t="s">
        <v>16</v>
      </c>
      <c r="F3" s="2" t="n">
        <v>129</v>
      </c>
      <c r="G3" s="2" t="n">
        <v>149</v>
      </c>
      <c r="H3" s="2" t="n">
        <v>0</v>
      </c>
      <c r="I3" s="2" t="s">
        <v>23</v>
      </c>
      <c r="J3" s="2"/>
      <c r="K3" s="4" t="s">
        <v>24</v>
      </c>
      <c r="L3" s="2" t="s">
        <v>25</v>
      </c>
      <c r="M3" s="5" t="s">
        <v>20</v>
      </c>
    </row>
    <row r="4" customFormat="false" ht="23.85" hidden="false" customHeight="false" outlineLevel="0" collapsed="false">
      <c r="A4" s="2" t="n">
        <v>3</v>
      </c>
      <c r="B4" s="2" t="s">
        <v>26</v>
      </c>
      <c r="C4" s="2" t="s">
        <v>14</v>
      </c>
      <c r="D4" s="2" t="s">
        <v>27</v>
      </c>
      <c r="E4" s="3" t="s">
        <v>16</v>
      </c>
      <c r="F4" s="2"/>
      <c r="G4" s="2" t="n">
        <v>0</v>
      </c>
      <c r="H4" s="2" t="n">
        <v>0</v>
      </c>
      <c r="I4" s="2" t="s">
        <v>23</v>
      </c>
      <c r="J4" s="2"/>
      <c r="K4" s="4" t="s">
        <v>28</v>
      </c>
      <c r="L4" s="2" t="s">
        <v>29</v>
      </c>
      <c r="M4" s="6" t="s">
        <v>30</v>
      </c>
    </row>
    <row r="5" customFormat="false" ht="23.85" hidden="false" customHeight="false" outlineLevel="0" collapsed="false">
      <c r="A5" s="2" t="n">
        <v>4</v>
      </c>
      <c r="B5" s="2" t="s">
        <v>31</v>
      </c>
      <c r="C5" s="2" t="s">
        <v>14</v>
      </c>
      <c r="D5" s="2" t="s">
        <v>27</v>
      </c>
      <c r="E5" s="7" t="s">
        <v>32</v>
      </c>
      <c r="F5" s="2"/>
      <c r="G5" s="2"/>
      <c r="H5" s="2"/>
      <c r="I5" s="2"/>
      <c r="J5" s="2"/>
      <c r="K5" s="4" t="s">
        <v>33</v>
      </c>
      <c r="L5" s="2" t="s">
        <v>34</v>
      </c>
      <c r="M5" s="6" t="s">
        <v>30</v>
      </c>
    </row>
    <row r="6" customFormat="false" ht="15" hidden="false" customHeight="false" outlineLevel="0" collapsed="false">
      <c r="A6" s="2" t="n">
        <v>5</v>
      </c>
      <c r="B6" s="2" t="s">
        <v>35</v>
      </c>
      <c r="C6" s="2" t="s">
        <v>14</v>
      </c>
      <c r="D6" s="2" t="s">
        <v>36</v>
      </c>
      <c r="E6" s="7" t="s">
        <v>32</v>
      </c>
      <c r="F6" s="2"/>
      <c r="G6" s="2"/>
      <c r="H6" s="2"/>
      <c r="I6" s="2"/>
      <c r="J6" s="2"/>
      <c r="K6" s="4" t="s">
        <v>37</v>
      </c>
      <c r="L6" s="2" t="s">
        <v>38</v>
      </c>
      <c r="M6" s="6" t="s">
        <v>30</v>
      </c>
    </row>
    <row r="7" customFormat="false" ht="23.85" hidden="false" customHeight="false" outlineLevel="0" collapsed="false">
      <c r="A7" s="2" t="n">
        <v>6</v>
      </c>
      <c r="B7" s="2" t="s">
        <v>39</v>
      </c>
      <c r="C7" s="2" t="s">
        <v>14</v>
      </c>
      <c r="D7" s="2" t="s">
        <v>40</v>
      </c>
      <c r="E7" s="7" t="s">
        <v>32</v>
      </c>
      <c r="F7" s="2"/>
      <c r="G7" s="2"/>
      <c r="H7" s="2"/>
      <c r="I7" s="2"/>
      <c r="J7" s="2"/>
      <c r="K7" s="4" t="s">
        <v>41</v>
      </c>
      <c r="L7" s="2" t="s">
        <v>42</v>
      </c>
      <c r="M7" s="6" t="s">
        <v>30</v>
      </c>
    </row>
    <row r="8" customFormat="false" ht="15" hidden="false" customHeight="false" outlineLevel="0" collapsed="false">
      <c r="A8" s="2" t="n">
        <v>7</v>
      </c>
      <c r="B8" s="2" t="s">
        <v>43</v>
      </c>
      <c r="C8" s="2" t="s">
        <v>14</v>
      </c>
      <c r="D8" s="2" t="s">
        <v>36</v>
      </c>
      <c r="E8" s="7" t="s">
        <v>32</v>
      </c>
      <c r="F8" s="2"/>
      <c r="G8" s="2"/>
      <c r="H8" s="2"/>
      <c r="I8" s="2"/>
      <c r="J8" s="2"/>
      <c r="K8" s="4" t="s">
        <v>44</v>
      </c>
      <c r="L8" s="2" t="s">
        <v>45</v>
      </c>
      <c r="M8" s="6" t="s">
        <v>30</v>
      </c>
    </row>
    <row r="9" customFormat="false" ht="15" hidden="false" customHeight="false" outlineLevel="0" collapsed="false">
      <c r="A9" s="2" t="n">
        <v>8</v>
      </c>
      <c r="B9" s="2" t="s">
        <v>46</v>
      </c>
      <c r="C9" s="2" t="s">
        <v>14</v>
      </c>
      <c r="D9" s="2" t="s">
        <v>47</v>
      </c>
      <c r="E9" s="7" t="s">
        <v>32</v>
      </c>
      <c r="F9" s="2"/>
      <c r="G9" s="2"/>
      <c r="H9" s="2"/>
      <c r="I9" s="2"/>
      <c r="J9" s="2"/>
      <c r="K9" s="4" t="s">
        <v>48</v>
      </c>
      <c r="L9" s="2" t="s">
        <v>49</v>
      </c>
      <c r="M9" s="6" t="s">
        <v>30</v>
      </c>
    </row>
    <row r="10" customFormat="false" ht="15" hidden="false" customHeight="false" outlineLevel="0" collapsed="false">
      <c r="A10" s="2" t="n">
        <v>9</v>
      </c>
      <c r="B10" s="2" t="s">
        <v>50</v>
      </c>
      <c r="C10" s="2" t="s">
        <v>14</v>
      </c>
      <c r="D10" s="2" t="s">
        <v>15</v>
      </c>
      <c r="E10" s="3" t="s">
        <v>16</v>
      </c>
      <c r="F10" s="2" t="n">
        <v>40</v>
      </c>
      <c r="G10" s="2"/>
      <c r="H10" s="2"/>
      <c r="I10" s="2"/>
      <c r="J10" s="2"/>
      <c r="K10" s="4" t="s">
        <v>51</v>
      </c>
      <c r="L10" s="2" t="s">
        <v>52</v>
      </c>
      <c r="M10" s="5" t="s">
        <v>20</v>
      </c>
    </row>
    <row r="11" customFormat="false" ht="15" hidden="false" customHeight="false" outlineLevel="0" collapsed="false">
      <c r="A11" s="2" t="n">
        <v>10</v>
      </c>
      <c r="B11" s="2" t="s">
        <v>53</v>
      </c>
      <c r="C11" s="2" t="s">
        <v>14</v>
      </c>
      <c r="D11" s="2" t="s">
        <v>15</v>
      </c>
      <c r="E11" s="7" t="s">
        <v>32</v>
      </c>
      <c r="F11" s="2"/>
      <c r="G11" s="2"/>
      <c r="H11" s="2"/>
      <c r="I11" s="2"/>
      <c r="J11" s="2"/>
      <c r="K11" s="4" t="s">
        <v>54</v>
      </c>
      <c r="L11" s="2" t="s">
        <v>55</v>
      </c>
      <c r="M11" s="6" t="s">
        <v>30</v>
      </c>
    </row>
    <row r="12" customFormat="false" ht="23.85" hidden="false" customHeight="false" outlineLevel="0" collapsed="false">
      <c r="A12" s="2" t="n">
        <v>11</v>
      </c>
      <c r="B12" s="2" t="s">
        <v>56</v>
      </c>
      <c r="C12" s="2" t="s">
        <v>57</v>
      </c>
      <c r="D12" s="2" t="s">
        <v>15</v>
      </c>
      <c r="E12" s="3" t="s">
        <v>16</v>
      </c>
      <c r="F12" s="2" t="n">
        <v>15</v>
      </c>
      <c r="G12" s="2" t="n">
        <v>1</v>
      </c>
      <c r="H12" s="2" t="n">
        <v>49</v>
      </c>
      <c r="I12" s="2" t="s">
        <v>58</v>
      </c>
      <c r="J12" s="2"/>
      <c r="K12" s="4" t="s">
        <v>59</v>
      </c>
      <c r="L12" s="2" t="s">
        <v>60</v>
      </c>
      <c r="M12" s="5" t="s">
        <v>20</v>
      </c>
    </row>
    <row r="13" customFormat="false" ht="15" hidden="false" customHeight="false" outlineLevel="0" collapsed="false">
      <c r="A13" s="2" t="n">
        <v>12</v>
      </c>
      <c r="B13" s="2" t="s">
        <v>61</v>
      </c>
      <c r="C13" s="2" t="s">
        <v>57</v>
      </c>
      <c r="D13" s="2" t="s">
        <v>62</v>
      </c>
      <c r="E13" s="3" t="s">
        <v>16</v>
      </c>
      <c r="F13" s="2" t="n">
        <v>159</v>
      </c>
      <c r="G13" s="2" t="n">
        <v>0</v>
      </c>
      <c r="H13" s="2" t="n">
        <v>0</v>
      </c>
      <c r="I13" s="2" t="s">
        <v>63</v>
      </c>
      <c r="J13" s="2"/>
      <c r="K13" s="4" t="s">
        <v>64</v>
      </c>
      <c r="L13" s="2" t="s">
        <v>65</v>
      </c>
      <c r="M13" s="5" t="s">
        <v>20</v>
      </c>
    </row>
    <row r="14" customFormat="false" ht="15" hidden="false" customHeight="false" outlineLevel="0" collapsed="false">
      <c r="A14" s="2" t="n">
        <v>13</v>
      </c>
      <c r="B14" s="2" t="s">
        <v>66</v>
      </c>
      <c r="C14" s="2" t="s">
        <v>57</v>
      </c>
      <c r="D14" s="2" t="s">
        <v>67</v>
      </c>
      <c r="E14" s="3" t="s">
        <v>16</v>
      </c>
      <c r="F14" s="2"/>
      <c r="G14" s="2"/>
      <c r="H14" s="2"/>
      <c r="I14" s="2"/>
      <c r="J14" s="2"/>
      <c r="K14" s="4" t="s">
        <v>68</v>
      </c>
      <c r="L14" s="2" t="s">
        <v>69</v>
      </c>
      <c r="M14" s="6" t="s">
        <v>30</v>
      </c>
    </row>
    <row r="15" customFormat="false" ht="23.85" hidden="false" customHeight="false" outlineLevel="0" collapsed="false">
      <c r="A15" s="2" t="n">
        <v>14</v>
      </c>
      <c r="B15" s="2" t="s">
        <v>70</v>
      </c>
      <c r="C15" s="2" t="s">
        <v>57</v>
      </c>
      <c r="D15" s="2" t="s">
        <v>22</v>
      </c>
      <c r="E15" s="7" t="s">
        <v>32</v>
      </c>
      <c r="F15" s="2"/>
      <c r="G15" s="2"/>
      <c r="H15" s="2"/>
      <c r="I15" s="2"/>
      <c r="J15" s="2"/>
      <c r="K15" s="4" t="s">
        <v>71</v>
      </c>
      <c r="L15" s="2" t="s">
        <v>72</v>
      </c>
      <c r="M15" s="6" t="s">
        <v>30</v>
      </c>
    </row>
    <row r="16" customFormat="false" ht="15" hidden="false" customHeight="false" outlineLevel="0" collapsed="false">
      <c r="A16" s="2" t="n">
        <v>15</v>
      </c>
      <c r="B16" s="2" t="s">
        <v>73</v>
      </c>
      <c r="C16" s="2" t="s">
        <v>57</v>
      </c>
      <c r="D16" s="2" t="s">
        <v>74</v>
      </c>
      <c r="E16" s="3" t="s">
        <v>16</v>
      </c>
      <c r="F16" s="2" t="n">
        <v>240</v>
      </c>
      <c r="G16" s="2"/>
      <c r="H16" s="2"/>
      <c r="I16" s="2"/>
      <c r="J16" s="2"/>
      <c r="K16" s="4" t="s">
        <v>75</v>
      </c>
      <c r="L16" s="2" t="s">
        <v>76</v>
      </c>
      <c r="M16" s="5" t="s">
        <v>20</v>
      </c>
    </row>
    <row r="17" customFormat="false" ht="23.85" hidden="false" customHeight="false" outlineLevel="0" collapsed="false">
      <c r="A17" s="2" t="n">
        <v>16</v>
      </c>
      <c r="B17" s="2" t="s">
        <v>77</v>
      </c>
      <c r="C17" s="2" t="s">
        <v>78</v>
      </c>
      <c r="D17" s="2" t="s">
        <v>15</v>
      </c>
      <c r="E17" s="3" t="s">
        <v>16</v>
      </c>
      <c r="F17" s="2" t="n">
        <v>55</v>
      </c>
      <c r="G17" s="2" t="n">
        <v>0</v>
      </c>
      <c r="H17" s="2" t="n">
        <v>45</v>
      </c>
      <c r="I17" s="2" t="s">
        <v>23</v>
      </c>
      <c r="J17" s="2" t="n">
        <v>15</v>
      </c>
      <c r="K17" s="4" t="s">
        <v>79</v>
      </c>
      <c r="L17" s="2" t="s">
        <v>80</v>
      </c>
      <c r="M17" s="5" t="s">
        <v>20</v>
      </c>
    </row>
    <row r="18" customFormat="false" ht="23.85" hidden="false" customHeight="false" outlineLevel="0" collapsed="false">
      <c r="A18" s="2" t="n">
        <v>17</v>
      </c>
      <c r="B18" s="2" t="s">
        <v>81</v>
      </c>
      <c r="C18" s="2" t="s">
        <v>82</v>
      </c>
      <c r="D18" s="2" t="s">
        <v>15</v>
      </c>
      <c r="E18" s="3" t="s">
        <v>16</v>
      </c>
      <c r="F18" s="2" t="n">
        <v>49</v>
      </c>
      <c r="G18" s="2"/>
      <c r="H18" s="2"/>
      <c r="I18" s="2" t="s">
        <v>23</v>
      </c>
      <c r="J18" s="2"/>
      <c r="K18" s="4" t="s">
        <v>83</v>
      </c>
      <c r="L18" s="2" t="s">
        <v>84</v>
      </c>
      <c r="M18" s="5" t="s">
        <v>20</v>
      </c>
    </row>
    <row r="19" customFormat="false" ht="15" hidden="false" customHeight="false" outlineLevel="0" collapsed="false">
      <c r="A19" s="2" t="n">
        <v>18</v>
      </c>
      <c r="B19" s="2" t="s">
        <v>85</v>
      </c>
      <c r="C19" s="2" t="s">
        <v>82</v>
      </c>
      <c r="D19" s="2" t="s">
        <v>86</v>
      </c>
      <c r="E19" s="3" t="s">
        <v>16</v>
      </c>
      <c r="F19" s="2" t="n">
        <v>249</v>
      </c>
      <c r="G19" s="2"/>
      <c r="H19" s="2"/>
      <c r="I19" s="2"/>
      <c r="J19" s="2"/>
      <c r="K19" s="4" t="s">
        <v>87</v>
      </c>
      <c r="L19" s="2" t="s">
        <v>88</v>
      </c>
      <c r="M19" s="5" t="s">
        <v>20</v>
      </c>
    </row>
    <row r="20" customFormat="false" ht="15" hidden="false" customHeight="false" outlineLevel="0" collapsed="false">
      <c r="A20" s="2" t="n">
        <v>19</v>
      </c>
      <c r="B20" s="2" t="s">
        <v>89</v>
      </c>
      <c r="C20" s="2" t="s">
        <v>82</v>
      </c>
      <c r="D20" s="2" t="s">
        <v>15</v>
      </c>
      <c r="E20" s="7" t="s">
        <v>32</v>
      </c>
      <c r="F20" s="2"/>
      <c r="G20" s="2"/>
      <c r="H20" s="2"/>
      <c r="I20" s="2"/>
      <c r="J20" s="2"/>
      <c r="K20" s="4" t="s">
        <v>90</v>
      </c>
      <c r="L20" s="2" t="s">
        <v>91</v>
      </c>
      <c r="M20" s="6" t="s">
        <v>30</v>
      </c>
    </row>
    <row r="21" customFormat="false" ht="23.85" hidden="false" customHeight="false" outlineLevel="0" collapsed="false">
      <c r="A21" s="2" t="n">
        <v>20</v>
      </c>
      <c r="B21" s="2" t="s">
        <v>92</v>
      </c>
      <c r="C21" s="2" t="s">
        <v>93</v>
      </c>
      <c r="D21" s="2" t="s">
        <v>27</v>
      </c>
      <c r="E21" s="3" t="s">
        <v>16</v>
      </c>
      <c r="F21" s="2" t="n">
        <v>259</v>
      </c>
      <c r="G21" s="2" t="n">
        <v>0</v>
      </c>
      <c r="H21" s="2" t="n">
        <v>0</v>
      </c>
      <c r="I21" s="2" t="s">
        <v>23</v>
      </c>
      <c r="J21" s="2"/>
      <c r="K21" s="4" t="s">
        <v>94</v>
      </c>
      <c r="L21" s="2" t="s">
        <v>29</v>
      </c>
      <c r="M21" s="5" t="s">
        <v>20</v>
      </c>
    </row>
    <row r="22" customFormat="false" ht="23.85" hidden="false" customHeight="false" outlineLevel="0" collapsed="false">
      <c r="A22" s="2" t="n">
        <v>21</v>
      </c>
      <c r="B22" s="2" t="s">
        <v>95</v>
      </c>
      <c r="C22" s="2" t="s">
        <v>93</v>
      </c>
      <c r="D22" s="2" t="s">
        <v>15</v>
      </c>
      <c r="E22" s="3" t="s">
        <v>16</v>
      </c>
      <c r="F22" s="2" t="n">
        <v>10</v>
      </c>
      <c r="G22" s="2"/>
      <c r="H22" s="2"/>
      <c r="I22" s="2" t="s">
        <v>96</v>
      </c>
      <c r="J22" s="2"/>
      <c r="K22" s="4" t="s">
        <v>97</v>
      </c>
      <c r="L22" s="2" t="s">
        <v>98</v>
      </c>
      <c r="M22" s="5" t="s">
        <v>20</v>
      </c>
    </row>
    <row r="23" customFormat="false" ht="23.85" hidden="false" customHeight="false" outlineLevel="0" collapsed="false">
      <c r="A23" s="2" t="n">
        <v>22</v>
      </c>
      <c r="B23" s="2" t="s">
        <v>99</v>
      </c>
      <c r="C23" s="2" t="s">
        <v>93</v>
      </c>
      <c r="D23" s="2" t="s">
        <v>100</v>
      </c>
      <c r="E23" s="7" t="s">
        <v>32</v>
      </c>
      <c r="F23" s="2" t="n">
        <v>399</v>
      </c>
      <c r="G23" s="2"/>
      <c r="H23" s="2"/>
      <c r="I23" s="2"/>
      <c r="J23" s="2"/>
      <c r="K23" s="4" t="s">
        <v>101</v>
      </c>
      <c r="L23" s="2" t="s">
        <v>102</v>
      </c>
      <c r="M23" s="5" t="s">
        <v>20</v>
      </c>
    </row>
    <row r="24" customFormat="false" ht="23.85" hidden="false" customHeight="false" outlineLevel="0" collapsed="false">
      <c r="A24" s="2" t="n">
        <v>23</v>
      </c>
      <c r="B24" s="2" t="s">
        <v>103</v>
      </c>
      <c r="C24" s="2" t="s">
        <v>93</v>
      </c>
      <c r="D24" s="2" t="s">
        <v>104</v>
      </c>
      <c r="E24" s="7" t="s">
        <v>32</v>
      </c>
      <c r="F24" s="2"/>
      <c r="G24" s="2"/>
      <c r="H24" s="2"/>
      <c r="I24" s="2"/>
      <c r="J24" s="2"/>
      <c r="K24" s="4" t="s">
        <v>105</v>
      </c>
      <c r="L24" s="2" t="s">
        <v>106</v>
      </c>
      <c r="M24" s="6" t="s">
        <v>30</v>
      </c>
    </row>
    <row r="25" customFormat="false" ht="15" hidden="false" customHeight="false" outlineLevel="0" collapsed="false">
      <c r="A25" s="2" t="n">
        <v>24</v>
      </c>
      <c r="B25" s="2" t="s">
        <v>107</v>
      </c>
      <c r="C25" s="2" t="s">
        <v>93</v>
      </c>
      <c r="D25" s="2" t="s">
        <v>108</v>
      </c>
      <c r="E25" s="7" t="s">
        <v>32</v>
      </c>
      <c r="F25" s="2"/>
      <c r="G25" s="2"/>
      <c r="H25" s="2"/>
      <c r="I25" s="2"/>
      <c r="J25" s="2"/>
      <c r="K25" s="4" t="s">
        <v>109</v>
      </c>
      <c r="L25" s="2" t="s">
        <v>110</v>
      </c>
      <c r="M25" s="6" t="s">
        <v>30</v>
      </c>
    </row>
    <row r="26" customFormat="false" ht="23.85" hidden="false" customHeight="false" outlineLevel="0" collapsed="false">
      <c r="A26" s="2" t="n">
        <v>25</v>
      </c>
      <c r="B26" s="2" t="s">
        <v>111</v>
      </c>
      <c r="C26" s="2" t="s">
        <v>93</v>
      </c>
      <c r="D26" s="2" t="s">
        <v>67</v>
      </c>
      <c r="E26" s="3" t="s">
        <v>16</v>
      </c>
      <c r="F26" s="2"/>
      <c r="G26" s="2"/>
      <c r="H26" s="2"/>
      <c r="I26" s="2"/>
      <c r="J26" s="2"/>
      <c r="K26" s="4" t="s">
        <v>112</v>
      </c>
      <c r="L26" s="2" t="s">
        <v>113</v>
      </c>
      <c r="M26" s="6" t="s">
        <v>30</v>
      </c>
    </row>
    <row r="27" customFormat="false" ht="15" hidden="false" customHeight="false" outlineLevel="0" collapsed="false">
      <c r="A27" s="2" t="n">
        <v>26</v>
      </c>
      <c r="B27" s="2" t="s">
        <v>114</v>
      </c>
      <c r="C27" s="2" t="s">
        <v>93</v>
      </c>
      <c r="D27" s="2" t="s">
        <v>115</v>
      </c>
      <c r="E27" s="7" t="s">
        <v>32</v>
      </c>
      <c r="F27" s="2"/>
      <c r="G27" s="2"/>
      <c r="H27" s="2"/>
      <c r="I27" s="2"/>
      <c r="J27" s="2"/>
      <c r="K27" s="4" t="s">
        <v>116</v>
      </c>
      <c r="L27" s="2" t="s">
        <v>117</v>
      </c>
      <c r="M27" s="6" t="s">
        <v>30</v>
      </c>
    </row>
    <row r="28" customFormat="false" ht="15" hidden="false" customHeight="false" outlineLevel="0" collapsed="false">
      <c r="A28" s="2" t="n">
        <v>27</v>
      </c>
      <c r="B28" s="2" t="s">
        <v>118</v>
      </c>
      <c r="C28" s="2" t="s">
        <v>93</v>
      </c>
      <c r="D28" s="2" t="s">
        <v>15</v>
      </c>
      <c r="E28" s="3" t="s">
        <v>16</v>
      </c>
      <c r="F28" s="2" t="n">
        <v>89</v>
      </c>
      <c r="G28" s="2" t="n">
        <v>0</v>
      </c>
      <c r="H28" s="2" t="n">
        <v>0</v>
      </c>
      <c r="I28" s="2" t="s">
        <v>119</v>
      </c>
      <c r="J28" s="2"/>
      <c r="K28" s="4" t="s">
        <v>120</v>
      </c>
      <c r="L28" s="2" t="s">
        <v>121</v>
      </c>
      <c r="M28" s="5" t="s">
        <v>20</v>
      </c>
    </row>
    <row r="29" customFormat="false" ht="15" hidden="false" customHeight="false" outlineLevel="0" collapsed="false">
      <c r="A29" s="2" t="n">
        <v>28</v>
      </c>
      <c r="B29" s="2" t="s">
        <v>122</v>
      </c>
      <c r="C29" s="2" t="s">
        <v>123</v>
      </c>
      <c r="D29" s="2" t="s">
        <v>15</v>
      </c>
      <c r="E29" s="3" t="s">
        <v>16</v>
      </c>
      <c r="F29" s="2" t="n">
        <v>89</v>
      </c>
      <c r="G29" s="2" t="n">
        <v>0</v>
      </c>
      <c r="H29" s="2" t="n">
        <v>0</v>
      </c>
      <c r="I29" s="2" t="s">
        <v>119</v>
      </c>
      <c r="J29" s="2"/>
      <c r="K29" s="4" t="s">
        <v>124</v>
      </c>
      <c r="L29" s="2" t="s">
        <v>121</v>
      </c>
      <c r="M29" s="5" t="s">
        <v>20</v>
      </c>
    </row>
    <row r="30" customFormat="false" ht="15" hidden="false" customHeight="false" outlineLevel="0" collapsed="false">
      <c r="A30" s="2" t="n">
        <v>29</v>
      </c>
      <c r="B30" s="2" t="s">
        <v>125</v>
      </c>
      <c r="C30" s="2" t="s">
        <v>123</v>
      </c>
      <c r="D30" s="2" t="s">
        <v>15</v>
      </c>
      <c r="E30" s="3" t="s">
        <v>16</v>
      </c>
      <c r="F30" s="2"/>
      <c r="G30" s="2"/>
      <c r="H30" s="2"/>
      <c r="I30" s="2"/>
      <c r="J30" s="2"/>
      <c r="K30" s="4" t="s">
        <v>126</v>
      </c>
      <c r="L30" s="2" t="s">
        <v>19</v>
      </c>
      <c r="M30" s="6" t="s">
        <v>30</v>
      </c>
    </row>
    <row r="31" customFormat="false" ht="15" hidden="false" customHeight="false" outlineLevel="0" collapsed="false">
      <c r="A31" s="2" t="n">
        <v>30</v>
      </c>
      <c r="B31" s="2" t="s">
        <v>127</v>
      </c>
      <c r="C31" s="2" t="s">
        <v>123</v>
      </c>
      <c r="D31" s="2" t="s">
        <v>36</v>
      </c>
      <c r="E31" s="7" t="s">
        <v>32</v>
      </c>
      <c r="F31" s="2"/>
      <c r="G31" s="2"/>
      <c r="H31" s="2"/>
      <c r="I31" s="2"/>
      <c r="J31" s="2"/>
      <c r="K31" s="4" t="s">
        <v>128</v>
      </c>
      <c r="L31" s="2" t="s">
        <v>129</v>
      </c>
      <c r="M31" s="6" t="s">
        <v>30</v>
      </c>
    </row>
    <row r="32" customFormat="false" ht="23.85" hidden="false" customHeight="false" outlineLevel="0" collapsed="false">
      <c r="A32" s="2" t="n">
        <v>31</v>
      </c>
      <c r="B32" s="2" t="s">
        <v>130</v>
      </c>
      <c r="C32" s="2" t="s">
        <v>123</v>
      </c>
      <c r="D32" s="2" t="s">
        <v>131</v>
      </c>
      <c r="E32" s="3" t="s">
        <v>16</v>
      </c>
      <c r="F32" s="2" t="n">
        <v>57</v>
      </c>
      <c r="G32" s="2"/>
      <c r="H32" s="2"/>
      <c r="I32" s="2" t="s">
        <v>132</v>
      </c>
      <c r="J32" s="2"/>
      <c r="K32" s="4" t="s">
        <v>133</v>
      </c>
      <c r="L32" s="2" t="s">
        <v>134</v>
      </c>
      <c r="M32" s="5" t="s">
        <v>20</v>
      </c>
    </row>
    <row r="33" customFormat="false" ht="23.85" hidden="false" customHeight="false" outlineLevel="0" collapsed="false">
      <c r="A33" s="2" t="n">
        <v>32</v>
      </c>
      <c r="B33" s="2" t="s">
        <v>135</v>
      </c>
      <c r="C33" s="2" t="s">
        <v>123</v>
      </c>
      <c r="D33" s="2" t="s">
        <v>15</v>
      </c>
      <c r="E33" s="3" t="s">
        <v>16</v>
      </c>
      <c r="F33" s="2"/>
      <c r="G33" s="2" t="n">
        <v>1</v>
      </c>
      <c r="H33" s="2" t="n">
        <v>50</v>
      </c>
      <c r="I33" s="2" t="s">
        <v>17</v>
      </c>
      <c r="J33" s="2"/>
      <c r="K33" s="4" t="s">
        <v>136</v>
      </c>
      <c r="L33" s="2" t="s">
        <v>137</v>
      </c>
      <c r="M33" s="6" t="s">
        <v>30</v>
      </c>
    </row>
    <row r="34" customFormat="false" ht="15" hidden="false" customHeight="false" outlineLevel="0" collapsed="false">
      <c r="A34" s="2" t="n">
        <v>33</v>
      </c>
      <c r="B34" s="2" t="s">
        <v>138</v>
      </c>
      <c r="C34" s="2" t="s">
        <v>139</v>
      </c>
      <c r="D34" s="2" t="s">
        <v>27</v>
      </c>
      <c r="E34" s="3" t="s">
        <v>16</v>
      </c>
      <c r="F34" s="2" t="n">
        <v>219</v>
      </c>
      <c r="G34" s="2" t="n">
        <v>0</v>
      </c>
      <c r="H34" s="2" t="n">
        <v>0</v>
      </c>
      <c r="I34" s="2" t="s">
        <v>23</v>
      </c>
      <c r="J34" s="2"/>
      <c r="K34" s="4" t="s">
        <v>140</v>
      </c>
      <c r="L34" s="2" t="s">
        <v>29</v>
      </c>
      <c r="M34" s="5" t="s">
        <v>20</v>
      </c>
    </row>
    <row r="35" customFormat="false" ht="23.85" hidden="false" customHeight="false" outlineLevel="0" collapsed="false">
      <c r="A35" s="2" t="n">
        <v>34</v>
      </c>
      <c r="B35" s="2" t="s">
        <v>141</v>
      </c>
      <c r="C35" s="2" t="s">
        <v>139</v>
      </c>
      <c r="D35" s="2" t="s">
        <v>27</v>
      </c>
      <c r="E35" s="7" t="s">
        <v>32</v>
      </c>
      <c r="F35" s="2"/>
      <c r="G35" s="2"/>
      <c r="H35" s="2"/>
      <c r="I35" s="2"/>
      <c r="J35" s="2"/>
      <c r="K35" s="4" t="s">
        <v>142</v>
      </c>
      <c r="L35" s="2" t="s">
        <v>34</v>
      </c>
      <c r="M35" s="6" t="s">
        <v>30</v>
      </c>
    </row>
    <row r="36" customFormat="false" ht="15" hidden="false" customHeight="false" outlineLevel="0" collapsed="false">
      <c r="A36" s="2" t="n">
        <v>35</v>
      </c>
      <c r="B36" s="2" t="s">
        <v>143</v>
      </c>
      <c r="C36" s="2" t="s">
        <v>139</v>
      </c>
      <c r="D36" s="2" t="s">
        <v>15</v>
      </c>
      <c r="E36" s="3" t="s">
        <v>16</v>
      </c>
      <c r="F36" s="2"/>
      <c r="G36" s="2"/>
      <c r="H36" s="2"/>
      <c r="I36" s="2"/>
      <c r="J36" s="2"/>
      <c r="K36" s="4" t="s">
        <v>144</v>
      </c>
      <c r="L36" s="2" t="s">
        <v>145</v>
      </c>
      <c r="M36" s="6" t="s">
        <v>30</v>
      </c>
    </row>
    <row r="37" customFormat="false" ht="15" hidden="false" customHeight="false" outlineLevel="0" collapsed="false">
      <c r="A37" s="2" t="n">
        <v>36</v>
      </c>
      <c r="B37" s="2" t="s">
        <v>146</v>
      </c>
      <c r="C37" s="2" t="s">
        <v>139</v>
      </c>
      <c r="D37" s="2" t="s">
        <v>15</v>
      </c>
      <c r="E37" s="3" t="s">
        <v>16</v>
      </c>
      <c r="F37" s="2"/>
      <c r="G37" s="2"/>
      <c r="H37" s="2"/>
      <c r="I37" s="2"/>
      <c r="J37" s="2"/>
      <c r="K37" s="4" t="s">
        <v>147</v>
      </c>
      <c r="L37" s="2" t="s">
        <v>148</v>
      </c>
      <c r="M37" s="6" t="s">
        <v>30</v>
      </c>
    </row>
    <row r="38" customFormat="false" ht="23.85" hidden="false" customHeight="false" outlineLevel="0" collapsed="false">
      <c r="A38" s="2" t="n">
        <v>37</v>
      </c>
      <c r="B38" s="2" t="s">
        <v>149</v>
      </c>
      <c r="C38" s="2" t="s">
        <v>14</v>
      </c>
      <c r="D38" s="2" t="s">
        <v>150</v>
      </c>
      <c r="E38" s="3" t="s">
        <v>16</v>
      </c>
      <c r="F38" s="2"/>
      <c r="G38" s="2"/>
      <c r="H38" s="2"/>
      <c r="I38" s="2"/>
      <c r="J38" s="2"/>
      <c r="K38" s="4" t="s">
        <v>151</v>
      </c>
      <c r="L38" s="2" t="s">
        <v>152</v>
      </c>
      <c r="M38" s="6" t="s">
        <v>30</v>
      </c>
    </row>
    <row r="39" customFormat="false" ht="23.85" hidden="false" customHeight="false" outlineLevel="0" collapsed="false">
      <c r="A39" s="2" t="n">
        <v>38</v>
      </c>
      <c r="B39" s="2" t="s">
        <v>153</v>
      </c>
      <c r="C39" s="2" t="s">
        <v>14</v>
      </c>
      <c r="D39" s="2" t="s">
        <v>150</v>
      </c>
      <c r="E39" s="7" t="s">
        <v>32</v>
      </c>
      <c r="F39" s="2"/>
      <c r="G39" s="2"/>
      <c r="H39" s="2"/>
      <c r="I39" s="2"/>
      <c r="J39" s="2"/>
      <c r="K39" s="4" t="s">
        <v>154</v>
      </c>
      <c r="L39" s="2" t="s">
        <v>155</v>
      </c>
      <c r="M39" s="6" t="s">
        <v>30</v>
      </c>
    </row>
    <row r="40" customFormat="false" ht="15" hidden="false" customHeight="false" outlineLevel="0" collapsed="false">
      <c r="A40" s="2" t="n">
        <v>39</v>
      </c>
      <c r="B40" s="2" t="s">
        <v>156</v>
      </c>
      <c r="C40" s="2" t="s">
        <v>93</v>
      </c>
      <c r="D40" s="2" t="s">
        <v>47</v>
      </c>
      <c r="E40" s="7" t="s">
        <v>32</v>
      </c>
      <c r="F40" s="2"/>
      <c r="G40" s="2"/>
      <c r="H40" s="2"/>
      <c r="I40" s="2"/>
      <c r="J40" s="2"/>
      <c r="K40" s="4" t="s">
        <v>157</v>
      </c>
      <c r="L40" s="2" t="s">
        <v>158</v>
      </c>
      <c r="M40" s="6" t="s">
        <v>30</v>
      </c>
    </row>
    <row r="41" customFormat="false" ht="15" hidden="false" customHeight="false" outlineLevel="0" collapsed="false">
      <c r="A41" s="2" t="n">
        <v>40</v>
      </c>
      <c r="B41" s="2" t="s">
        <v>159</v>
      </c>
      <c r="C41" s="2" t="s">
        <v>57</v>
      </c>
      <c r="D41" s="2" t="s">
        <v>160</v>
      </c>
      <c r="E41" s="7" t="s">
        <v>32</v>
      </c>
      <c r="F41" s="2"/>
      <c r="G41" s="2"/>
      <c r="H41" s="2"/>
      <c r="I41" s="2"/>
      <c r="J41" s="2"/>
      <c r="K41" s="4" t="s">
        <v>161</v>
      </c>
      <c r="L41" s="2" t="s">
        <v>162</v>
      </c>
      <c r="M41" s="6" t="s">
        <v>30</v>
      </c>
    </row>
    <row r="43" customFormat="false" ht="15" hidden="false" customHeight="false" outlineLevel="0" collapsed="false">
      <c r="B43" s="8" t="s">
        <v>163</v>
      </c>
    </row>
    <row r="44" customFormat="false" ht="15" hidden="false" customHeight="false" outlineLevel="0" collapsed="false">
      <c r="B44" s="9" t="s">
        <v>164</v>
      </c>
      <c r="C44" s="10" t="n">
        <f aca="false">COUNTA(B2:B41)</f>
        <v>40</v>
      </c>
    </row>
    <row r="45" customFormat="false" ht="15" hidden="false" customHeight="false" outlineLevel="0" collapsed="false">
      <c r="B45" s="9" t="s">
        <v>165</v>
      </c>
      <c r="C45" s="10" t="n">
        <f aca="false">COUNTIF(E2:E41,"Scrape")</f>
        <v>23</v>
      </c>
    </row>
    <row r="46" customFormat="false" ht="15" hidden="false" customHeight="false" outlineLevel="0" collapsed="false">
      <c r="B46" s="9" t="s">
        <v>166</v>
      </c>
      <c r="C46" s="10" t="n">
        <f aca="false">COUNTIF(E2:E41,"Manual")</f>
        <v>17</v>
      </c>
    </row>
    <row r="47" customFormat="false" ht="15" hidden="false" customHeight="false" outlineLevel="0" collapsed="false">
      <c r="B47" s="9" t="s">
        <v>167</v>
      </c>
      <c r="C47" s="10" t="n">
        <f aca="false">COUNTIF(M2:M41,"Have price")</f>
        <v>16</v>
      </c>
    </row>
    <row r="48" customFormat="false" ht="15" hidden="false" customHeight="false" outlineLevel="0" collapsed="false">
      <c r="B48" s="9" t="s">
        <v>168</v>
      </c>
      <c r="C48" s="10" t="n">
        <f aca="false">COUNTIF(M2:M41,"Need price")</f>
        <v>24</v>
      </c>
    </row>
    <row r="50" customFormat="false" ht="15" hidden="false" customHeight="false" outlineLevel="0" collapsed="false">
      <c r="B50" s="11" t="s">
        <v>169</v>
      </c>
      <c r="C50" s="11"/>
      <c r="D50" s="11"/>
      <c r="E50" s="11"/>
      <c r="F50" s="11"/>
      <c r="G50" s="11"/>
      <c r="H50" s="11"/>
      <c r="I50" s="11"/>
      <c r="J50" s="11"/>
      <c r="K50" s="11"/>
    </row>
    <row r="52" customFormat="false" ht="15" hidden="false" customHeight="false" outlineLevel="0" collapsed="false">
      <c r="B52" s="8" t="s">
        <v>170</v>
      </c>
    </row>
    <row r="53" customFormat="false" ht="15" hidden="false" customHeight="false" outlineLevel="0" collapsed="false">
      <c r="B53" s="11" t="s">
        <v>171</v>
      </c>
      <c r="C53" s="11"/>
      <c r="D53" s="11"/>
      <c r="E53" s="11"/>
      <c r="F53" s="11"/>
      <c r="G53" s="11"/>
      <c r="H53" s="11"/>
      <c r="I53" s="11"/>
      <c r="J53" s="11"/>
      <c r="K53" s="11"/>
    </row>
    <row r="54" customFormat="false" ht="15" hidden="false" customHeight="false" outlineLevel="0" collapsed="false">
      <c r="B54" s="11" t="s">
        <v>172</v>
      </c>
      <c r="C54" s="11"/>
      <c r="D54" s="11"/>
      <c r="E54" s="11"/>
      <c r="F54" s="11"/>
      <c r="G54" s="11"/>
      <c r="H54" s="11"/>
      <c r="I54" s="11"/>
      <c r="J54" s="11"/>
      <c r="K54" s="11"/>
    </row>
    <row r="55" customFormat="false" ht="15" hidden="false" customHeight="false" outlineLevel="0" collapsed="false">
      <c r="B55" s="11" t="s">
        <v>173</v>
      </c>
      <c r="C55" s="11"/>
      <c r="D55" s="11"/>
      <c r="E55" s="11"/>
      <c r="F55" s="11"/>
      <c r="G55" s="11"/>
      <c r="H55" s="11"/>
      <c r="I55" s="11"/>
      <c r="J55" s="11"/>
      <c r="K55" s="11"/>
    </row>
    <row r="56" customFormat="false" ht="15" hidden="false" customHeight="false" outlineLevel="0" collapsed="false">
      <c r="B56" s="11" t="s">
        <v>174</v>
      </c>
      <c r="C56" s="11"/>
      <c r="D56" s="11"/>
      <c r="E56" s="11"/>
      <c r="F56" s="11"/>
      <c r="G56" s="11"/>
      <c r="H56" s="11"/>
      <c r="I56" s="11"/>
      <c r="J56" s="11"/>
      <c r="K56" s="11"/>
    </row>
  </sheetData>
  <mergeCells count="5">
    <mergeCell ref="B50:K50"/>
    <mergeCell ref="B53:K53"/>
    <mergeCell ref="B54:K54"/>
    <mergeCell ref="B55:K55"/>
    <mergeCell ref="B56:K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2" t="s">
        <v>175</v>
      </c>
      <c r="B1" s="12" t="s">
        <v>176</v>
      </c>
      <c r="C1" s="12" t="s">
        <v>177</v>
      </c>
      <c r="D1" s="12" t="s">
        <v>178</v>
      </c>
      <c r="E1" s="12" t="s">
        <v>179</v>
      </c>
    </row>
    <row r="2" customFormat="false" ht="23.85" hidden="false" customHeight="false" outlineLevel="0" collapsed="false">
      <c r="A2" s="4" t="s">
        <v>180</v>
      </c>
      <c r="B2" s="4" t="s">
        <v>181</v>
      </c>
      <c r="C2" s="4" t="s">
        <v>182</v>
      </c>
      <c r="D2" s="4" t="s">
        <v>183</v>
      </c>
      <c r="E2" s="4" t="s">
        <v>184</v>
      </c>
    </row>
    <row r="3" customFormat="false" ht="23.85" hidden="false" customHeight="false" outlineLevel="0" collapsed="false">
      <c r="A3" s="4" t="s">
        <v>185</v>
      </c>
      <c r="B3" s="4" t="s">
        <v>186</v>
      </c>
      <c r="C3" s="4" t="s">
        <v>187</v>
      </c>
      <c r="D3" s="4" t="s">
        <v>188</v>
      </c>
      <c r="E3" s="4" t="s">
        <v>189</v>
      </c>
    </row>
    <row r="4" customFormat="false" ht="23.85" hidden="false" customHeight="false" outlineLevel="0" collapsed="false">
      <c r="A4" s="4" t="s">
        <v>190</v>
      </c>
      <c r="B4" s="4" t="s">
        <v>191</v>
      </c>
      <c r="C4" s="4" t="s">
        <v>192</v>
      </c>
      <c r="D4" s="4" t="s">
        <v>188</v>
      </c>
      <c r="E4" s="4" t="s">
        <v>193</v>
      </c>
    </row>
    <row r="5" customFormat="false" ht="15" hidden="false" customHeight="false" outlineLevel="0" collapsed="false">
      <c r="A5" s="4" t="s">
        <v>194</v>
      </c>
      <c r="B5" s="4" t="s">
        <v>195</v>
      </c>
      <c r="C5" s="4" t="s">
        <v>196</v>
      </c>
      <c r="D5" s="4" t="s">
        <v>183</v>
      </c>
      <c r="E5" s="4" t="s">
        <v>197</v>
      </c>
    </row>
    <row r="6" customFormat="false" ht="15" hidden="false" customHeight="false" outlineLevel="0" collapsed="false">
      <c r="A6" s="4" t="s">
        <v>198</v>
      </c>
      <c r="B6" s="4" t="s">
        <v>135</v>
      </c>
      <c r="C6" s="4" t="s">
        <v>199</v>
      </c>
      <c r="D6" s="4" t="s">
        <v>188</v>
      </c>
      <c r="E6" s="4" t="s">
        <v>200</v>
      </c>
    </row>
    <row r="7" customFormat="false" ht="23.85" hidden="false" customHeight="false" outlineLevel="0" collapsed="false">
      <c r="A7" s="4" t="s">
        <v>201</v>
      </c>
      <c r="B7" s="4" t="s">
        <v>202</v>
      </c>
      <c r="C7" s="4" t="s">
        <v>203</v>
      </c>
      <c r="D7" s="4" t="s">
        <v>188</v>
      </c>
      <c r="E7" s="4" t="s">
        <v>204</v>
      </c>
    </row>
    <row r="8" customFormat="false" ht="15" hidden="false" customHeight="false" outlineLevel="0" collapsed="false">
      <c r="A8" s="4" t="s">
        <v>205</v>
      </c>
      <c r="B8" s="4" t="s">
        <v>206</v>
      </c>
      <c r="C8" s="4" t="s">
        <v>207</v>
      </c>
      <c r="D8" s="4" t="s">
        <v>183</v>
      </c>
      <c r="E8" s="4" t="s">
        <v>208</v>
      </c>
    </row>
    <row r="9" customFormat="false" ht="23.85" hidden="false" customHeight="false" outlineLevel="0" collapsed="false">
      <c r="A9" s="4" t="s">
        <v>209</v>
      </c>
      <c r="B9" s="4" t="s">
        <v>77</v>
      </c>
      <c r="C9" s="4" t="s">
        <v>210</v>
      </c>
      <c r="D9" s="4" t="s">
        <v>183</v>
      </c>
      <c r="E9" s="4" t="s">
        <v>211</v>
      </c>
    </row>
    <row r="10" customFormat="false" ht="23.85" hidden="false" customHeight="false" outlineLevel="0" collapsed="false">
      <c r="A10" s="4" t="s">
        <v>212</v>
      </c>
      <c r="B10" s="4" t="s">
        <v>21</v>
      </c>
      <c r="C10" s="4" t="s">
        <v>213</v>
      </c>
      <c r="D10" s="4" t="s">
        <v>188</v>
      </c>
      <c r="E10" s="4" t="s">
        <v>214</v>
      </c>
    </row>
    <row r="11" customFormat="false" ht="15" hidden="false" customHeight="false" outlineLevel="0" collapsed="false">
      <c r="A11" s="4" t="s">
        <v>215</v>
      </c>
      <c r="B11" s="4" t="s">
        <v>81</v>
      </c>
      <c r="C11" s="4" t="s">
        <v>216</v>
      </c>
      <c r="D11" s="4" t="s">
        <v>183</v>
      </c>
      <c r="E11" s="4" t="s">
        <v>217</v>
      </c>
    </row>
    <row r="12" customFormat="false" ht="15" hidden="false" customHeight="false" outlineLevel="0" collapsed="false">
      <c r="A12" s="4" t="s">
        <v>218</v>
      </c>
      <c r="B12" s="4" t="s">
        <v>61</v>
      </c>
      <c r="C12" s="4" t="s">
        <v>219</v>
      </c>
      <c r="D12" s="4" t="s">
        <v>183</v>
      </c>
      <c r="E12" s="4" t="s">
        <v>220</v>
      </c>
    </row>
    <row r="13" customFormat="false" ht="23.85" hidden="false" customHeight="false" outlineLevel="0" collapsed="false">
      <c r="A13" s="4" t="s">
        <v>221</v>
      </c>
      <c r="B13" s="4" t="s">
        <v>222</v>
      </c>
      <c r="C13" s="4" t="s">
        <v>223</v>
      </c>
      <c r="D13" s="4" t="s">
        <v>188</v>
      </c>
      <c r="E13" s="4" t="s">
        <v>224</v>
      </c>
    </row>
    <row r="14" customFormat="false" ht="15" hidden="false" customHeight="false" outlineLevel="0" collapsed="false">
      <c r="A14" s="4" t="s">
        <v>225</v>
      </c>
      <c r="B14" s="4" t="s">
        <v>66</v>
      </c>
      <c r="C14" s="4" t="s">
        <v>69</v>
      </c>
      <c r="D14" s="4" t="s">
        <v>188</v>
      </c>
      <c r="E14" s="4" t="s">
        <v>226</v>
      </c>
    </row>
    <row r="15" customFormat="false" ht="15" hidden="false" customHeight="false" outlineLevel="0" collapsed="false">
      <c r="A15" s="4" t="s">
        <v>227</v>
      </c>
      <c r="B15" s="4" t="s">
        <v>228</v>
      </c>
      <c r="C15" s="4" t="s">
        <v>229</v>
      </c>
      <c r="D15" s="4" t="s">
        <v>188</v>
      </c>
      <c r="E15" s="4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26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2" t="s">
        <v>1</v>
      </c>
      <c r="B1" s="12" t="s">
        <v>2</v>
      </c>
      <c r="C1" s="12" t="s">
        <v>231</v>
      </c>
      <c r="D1" s="12" t="s">
        <v>232</v>
      </c>
      <c r="E1" s="12" t="s">
        <v>233</v>
      </c>
      <c r="F1" s="12" t="s">
        <v>234</v>
      </c>
    </row>
    <row r="2" customFormat="false" ht="23.85" hidden="false" customHeight="false" outlineLevel="0" collapsed="false">
      <c r="A2" s="4" t="s">
        <v>31</v>
      </c>
      <c r="B2" s="4" t="s">
        <v>14</v>
      </c>
      <c r="C2" s="4" t="s">
        <v>235</v>
      </c>
      <c r="D2" s="4" t="s">
        <v>236</v>
      </c>
      <c r="E2" s="13" t="s">
        <v>237</v>
      </c>
    </row>
    <row r="3" customFormat="false" ht="15" hidden="false" customHeight="false" outlineLevel="0" collapsed="false">
      <c r="A3" s="4" t="s">
        <v>35</v>
      </c>
      <c r="B3" s="4" t="s">
        <v>14</v>
      </c>
      <c r="C3" s="4" t="s">
        <v>238</v>
      </c>
      <c r="D3" s="4" t="s">
        <v>239</v>
      </c>
      <c r="E3" s="13" t="s">
        <v>237</v>
      </c>
    </row>
    <row r="4" customFormat="false" ht="15" hidden="false" customHeight="false" outlineLevel="0" collapsed="false">
      <c r="A4" s="4" t="s">
        <v>39</v>
      </c>
      <c r="B4" s="4" t="s">
        <v>14</v>
      </c>
      <c r="C4" s="4" t="s">
        <v>240</v>
      </c>
      <c r="D4" s="4" t="s">
        <v>239</v>
      </c>
      <c r="E4" s="13" t="s">
        <v>237</v>
      </c>
    </row>
    <row r="5" customFormat="false" ht="23.85" hidden="false" customHeight="false" outlineLevel="0" collapsed="false">
      <c r="A5" s="4" t="s">
        <v>43</v>
      </c>
      <c r="B5" s="4" t="s">
        <v>14</v>
      </c>
      <c r="C5" s="4" t="s">
        <v>235</v>
      </c>
      <c r="D5" s="4" t="s">
        <v>241</v>
      </c>
      <c r="E5" s="13" t="s">
        <v>237</v>
      </c>
    </row>
    <row r="6" customFormat="false" ht="15" hidden="false" customHeight="false" outlineLevel="0" collapsed="false">
      <c r="A6" s="4" t="s">
        <v>242</v>
      </c>
      <c r="B6" s="4" t="s">
        <v>14</v>
      </c>
      <c r="C6" s="4" t="s">
        <v>243</v>
      </c>
      <c r="D6" s="4" t="s">
        <v>239</v>
      </c>
      <c r="E6" s="13" t="s">
        <v>237</v>
      </c>
    </row>
    <row r="7" customFormat="false" ht="23.85" hidden="false" customHeight="false" outlineLevel="0" collapsed="false">
      <c r="A7" s="4" t="s">
        <v>244</v>
      </c>
      <c r="B7" s="4" t="s">
        <v>14</v>
      </c>
      <c r="C7" s="4" t="s">
        <v>235</v>
      </c>
      <c r="D7" s="4" t="s">
        <v>245</v>
      </c>
      <c r="E7" s="13" t="s">
        <v>237</v>
      </c>
    </row>
    <row r="8" customFormat="false" ht="23.85" hidden="false" customHeight="false" outlineLevel="0" collapsed="false">
      <c r="A8" s="4" t="s">
        <v>99</v>
      </c>
      <c r="B8" s="4" t="s">
        <v>93</v>
      </c>
      <c r="C8" s="4" t="s">
        <v>246</v>
      </c>
      <c r="D8" s="4" t="s">
        <v>247</v>
      </c>
      <c r="E8" s="13" t="s">
        <v>237</v>
      </c>
    </row>
    <row r="9" customFormat="false" ht="15" hidden="false" customHeight="false" outlineLevel="0" collapsed="false">
      <c r="A9" s="4" t="s">
        <v>103</v>
      </c>
      <c r="B9" s="4" t="s">
        <v>93</v>
      </c>
      <c r="C9" s="4" t="s">
        <v>248</v>
      </c>
      <c r="D9" s="4" t="s">
        <v>249</v>
      </c>
      <c r="E9" s="13" t="s">
        <v>237</v>
      </c>
    </row>
    <row r="10" customFormat="false" ht="15" hidden="false" customHeight="false" outlineLevel="0" collapsed="false">
      <c r="A10" s="4" t="s">
        <v>107</v>
      </c>
      <c r="B10" s="4" t="s">
        <v>93</v>
      </c>
      <c r="C10" s="4" t="s">
        <v>250</v>
      </c>
      <c r="D10" s="4" t="s">
        <v>245</v>
      </c>
      <c r="E10" s="13" t="s">
        <v>237</v>
      </c>
    </row>
    <row r="11" customFormat="false" ht="15" hidden="false" customHeight="false" outlineLevel="0" collapsed="false">
      <c r="A11" s="4" t="s">
        <v>251</v>
      </c>
      <c r="B11" s="4" t="s">
        <v>93</v>
      </c>
      <c r="C11" s="4" t="s">
        <v>252</v>
      </c>
      <c r="D11" s="4" t="s">
        <v>239</v>
      </c>
      <c r="E11" s="13" t="s">
        <v>237</v>
      </c>
    </row>
    <row r="12" customFormat="false" ht="15" hidden="false" customHeight="false" outlineLevel="0" collapsed="false">
      <c r="A12" s="4" t="s">
        <v>253</v>
      </c>
      <c r="B12" s="4" t="s">
        <v>123</v>
      </c>
      <c r="C12" s="4" t="s">
        <v>254</v>
      </c>
      <c r="D12" s="4" t="s">
        <v>239</v>
      </c>
      <c r="E12" s="13" t="s">
        <v>237</v>
      </c>
    </row>
    <row r="13" customFormat="false" ht="23.85" hidden="false" customHeight="false" outlineLevel="0" collapsed="false">
      <c r="A13" s="4" t="s">
        <v>255</v>
      </c>
      <c r="B13" s="4" t="s">
        <v>57</v>
      </c>
      <c r="C13" s="4" t="s">
        <v>235</v>
      </c>
      <c r="D13" s="4" t="s">
        <v>256</v>
      </c>
      <c r="E13" s="13" t="s">
        <v>237</v>
      </c>
    </row>
    <row r="14" customFormat="false" ht="15" hidden="false" customHeight="false" outlineLevel="0" collapsed="false">
      <c r="A14" s="4" t="s">
        <v>257</v>
      </c>
      <c r="B14" s="4" t="s">
        <v>57</v>
      </c>
      <c r="C14" s="4" t="s">
        <v>258</v>
      </c>
      <c r="D14" s="4" t="s">
        <v>245</v>
      </c>
      <c r="E14" s="13" t="s">
        <v>237</v>
      </c>
    </row>
    <row r="15" customFormat="false" ht="15" hidden="false" customHeight="false" outlineLevel="0" collapsed="false">
      <c r="A15" s="4" t="s">
        <v>259</v>
      </c>
      <c r="B15" s="4" t="s">
        <v>93</v>
      </c>
      <c r="C15" s="4" t="s">
        <v>260</v>
      </c>
      <c r="D15" s="4" t="s">
        <v>239</v>
      </c>
      <c r="E15" s="13" t="s">
        <v>237</v>
      </c>
    </row>
    <row r="16" customFormat="false" ht="15" hidden="false" customHeight="false" outlineLevel="0" collapsed="false">
      <c r="A16" s="4" t="s">
        <v>261</v>
      </c>
      <c r="B16" s="4" t="s">
        <v>14</v>
      </c>
      <c r="C16" s="4" t="s">
        <v>262</v>
      </c>
      <c r="D16" s="4" t="s">
        <v>239</v>
      </c>
      <c r="E16" s="13" t="s">
        <v>237</v>
      </c>
    </row>
    <row r="17" customFormat="false" ht="23.85" hidden="false" customHeight="false" outlineLevel="0" collapsed="false">
      <c r="A17" s="4" t="s">
        <v>263</v>
      </c>
      <c r="B17" s="4" t="s">
        <v>82</v>
      </c>
      <c r="C17" s="4" t="s">
        <v>235</v>
      </c>
      <c r="D17" s="4" t="s">
        <v>264</v>
      </c>
      <c r="E17" s="13" t="s">
        <v>237</v>
      </c>
    </row>
    <row r="19" customFormat="false" ht="15" hidden="false" customHeight="false" outlineLevel="0" collapsed="false">
      <c r="A19" s="11" t="s">
        <v>265</v>
      </c>
      <c r="B19" s="11"/>
      <c r="C19" s="11"/>
      <c r="D19" s="11"/>
      <c r="E19" s="11"/>
      <c r="F19" s="11"/>
    </row>
  </sheetData>
  <mergeCells count="1"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2026-08-18T14:36:59Z</dcterms:created>
  <dc:creator>openpyxl</dc:creator>
  <dc:description/>
  <dc:language>en-US</dc:language>
  <cp:lastModifiedBy/>
  <dcterms:modified xsi:type="dcterms:W3CDTF">2026-08-18T14:36:59Z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