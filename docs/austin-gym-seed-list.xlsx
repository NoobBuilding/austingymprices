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eed List" sheetId="1" state="visible" r:id="rId1"/>
    <sheet name="Scraper Targets" sheetId="2" state="visible" r:id="rId2"/>
    <sheet name="Manual Call List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BF5700"/>
      <sz val="11"/>
    </font>
    <font>
      <name val="Arial"/>
      <charset val="1"/>
      <family val="0"/>
      <color rgb="FF6B635B"/>
      <sz val="9"/>
    </font>
  </fonts>
  <fills count="6">
    <fill>
      <patternFill/>
    </fill>
    <fill>
      <patternFill patternType="gray125"/>
    </fill>
    <fill>
      <patternFill patternType="solid">
        <fgColor rgb="FFBF5700"/>
        <bgColor rgb="FFFF6600"/>
      </patternFill>
    </fill>
    <fill>
      <patternFill patternType="solid">
        <fgColor rgb="FFE9F5EE"/>
        <bgColor rgb="FFF1EEEA"/>
      </patternFill>
    </fill>
    <fill>
      <patternFill patternType="solid">
        <fgColor rgb="FFFFF3E0"/>
        <bgColor rgb="FFF1EEEA"/>
      </patternFill>
    </fill>
    <fill>
      <patternFill patternType="solid">
        <fgColor rgb="FFF1EEEA"/>
        <bgColor rgb="FFECE7E1"/>
      </patternFill>
    </fill>
  </fills>
  <borders count="2">
    <border>
      <left/>
      <right/>
      <top/>
      <bottom/>
      <diagonal/>
    </border>
    <border>
      <left/>
      <right/>
      <top/>
      <bottom style="thin">
        <color rgb="FFECE7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top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/>
    </xf>
    <xf numFmtId="0" fontId="6" fillId="4" borderId="1" applyAlignment="1" pivotButton="0" quotePrefix="0" xfId="0">
      <alignment horizontal="general" vertical="top"/>
    </xf>
    <xf numFmtId="0" fontId="5" fillId="5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top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/>
    </xf>
    <xf numFmtId="0" fontId="6" fillId="4" borderId="1" applyAlignment="1" pivotButton="0" quotePrefix="0" xfId="0">
      <alignment horizontal="general" vertical="top"/>
    </xf>
    <xf numFmtId="0" fontId="5" fillId="5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E0"/>
      <rgbColor rgb="FFE9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EEA"/>
      <rgbColor rgb="FFECE7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35B"/>
      <rgbColor rgb="FF969696"/>
      <rgbColor rgb="FF003366"/>
      <rgbColor rgb="FF339966"/>
      <rgbColor rgb="FF003300"/>
      <rgbColor rgb="FF333300"/>
      <rgbColor rgb="FFBF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4" min="1" max="1"/>
    <col width="30" customWidth="1" style="14" min="2" max="2"/>
    <col width="18" customWidth="1" style="14" min="3" max="3"/>
    <col width="16" customWidth="1" style="14" min="4" max="4"/>
    <col width="12" customWidth="1" style="14" min="5" max="5"/>
    <col width="11" customWidth="1" style="14" min="6" max="6"/>
    <col width="12" customWidth="1" style="14" min="7" max="8"/>
    <col width="14" customWidth="1" style="14" min="9" max="9"/>
    <col width="11" customWidth="1" style="14" min="10" max="10"/>
    <col width="52" customWidth="1" style="14" min="11" max="11"/>
    <col width="34" customWidth="1" style="14" min="12" max="12"/>
    <col width="12" customWidth="1" style="14" min="13" max="13"/>
  </cols>
  <sheetData>
    <row r="1" ht="19.5" customHeight="1" s="15">
      <c r="A1" s="16" t="inlineStr">
        <is>
          <t>#</t>
        </is>
      </c>
      <c r="B1" s="16" t="inlineStr">
        <is>
          <t>Gym</t>
        </is>
      </c>
      <c r="C1" s="16" t="inlineStr">
        <is>
          <t>Region</t>
        </is>
      </c>
      <c r="D1" s="16" t="inlineStr">
        <is>
          <t>Category</t>
        </is>
      </c>
      <c r="E1" s="16" t="inlineStr">
        <is>
          <t>Data Source</t>
        </is>
      </c>
      <c r="F1" s="16" t="inlineStr">
        <is>
          <t>Monthly ($)</t>
        </is>
      </c>
      <c r="G1" s="16" t="inlineStr">
        <is>
          <t>Enroll Fee ($)</t>
        </is>
      </c>
      <c r="H1" s="16" t="inlineStr">
        <is>
          <t>Annual Fee ($)</t>
        </is>
      </c>
      <c r="I1" s="16" t="inlineStr">
        <is>
          <t>Commitment</t>
        </is>
      </c>
      <c r="J1" s="16" t="inlineStr">
        <is>
          <t>Day Pass ($)</t>
        </is>
      </c>
      <c r="K1" s="16" t="inlineStr">
        <is>
          <t>Known Pricing Notes</t>
        </is>
      </c>
      <c r="L1" s="16" t="inlineStr">
        <is>
          <t>Website</t>
        </is>
      </c>
      <c r="M1" s="16" t="inlineStr">
        <is>
          <t>Status</t>
        </is>
      </c>
    </row>
    <row r="2" ht="23.85" customHeight="1" s="15">
      <c r="A2" s="17" t="n">
        <v>1</v>
      </c>
      <c r="B2" s="17" t="inlineStr">
        <is>
          <t>Gold's Gym Downtown</t>
        </is>
      </c>
      <c r="C2" s="17" t="inlineStr">
        <is>
          <t>Downtown</t>
        </is>
      </c>
      <c r="D2" s="17" t="inlineStr">
        <is>
          <t>Gym / weights</t>
        </is>
      </c>
      <c r="E2" s="18" t="inlineStr">
        <is>
          <t>Scrape</t>
        </is>
      </c>
      <c r="F2" s="17" t="n">
        <v>45</v>
      </c>
      <c r="G2" s="17" t="n">
        <v>49</v>
      </c>
      <c r="H2" s="17" t="n">
        <v>49</v>
      </c>
      <c r="I2" s="17" t="inlineStr">
        <is>
          <t>Varies</t>
        </is>
      </c>
      <c r="J2" s="17" t="n"/>
      <c r="K2" s="19" t="inlineStr">
        <is>
          <t>Verify tiers; downtown flagship at 6th St. Fees estimated from chain norms — confirm.</t>
        </is>
      </c>
      <c r="L2" s="17" t="inlineStr">
        <is>
          <t>goldsgym.com</t>
        </is>
      </c>
      <c r="M2" s="20" t="inlineStr">
        <is>
          <t>Need price</t>
        </is>
      </c>
    </row>
    <row r="3" ht="23.85" customHeight="1" s="15">
      <c r="A3" s="17" t="n">
        <v>2</v>
      </c>
      <c r="B3" s="17" t="inlineStr">
        <is>
          <t>Castle Hill Fitness</t>
        </is>
      </c>
      <c r="C3" s="17" t="inlineStr">
        <is>
          <t>Downtown</t>
        </is>
      </c>
      <c r="D3" s="17" t="inlineStr">
        <is>
          <t>Gym + classes</t>
        </is>
      </c>
      <c r="E3" s="18" t="inlineStr">
        <is>
          <t>Scrape</t>
        </is>
      </c>
      <c r="F3" s="17" t="n">
        <v>129</v>
      </c>
      <c r="G3" s="17" t="n">
        <v>149</v>
      </c>
      <c r="H3" s="17" t="n">
        <v>0</v>
      </c>
      <c r="I3" s="17" t="inlineStr">
        <is>
          <t>Month-to-month</t>
        </is>
      </c>
      <c r="J3" s="17" t="n"/>
      <c r="K3" s="19" t="inlineStr">
        <is>
          <t>$149 enrollment currently waived promo; tiers $89-199; student/senior/military 20% off; 3-day local trial.</t>
        </is>
      </c>
      <c r="L3" s="17" t="inlineStr">
        <is>
          <t>castlehillfitness.com</t>
        </is>
      </c>
      <c r="M3" s="20" t="inlineStr">
        <is>
          <t>Need price</t>
        </is>
      </c>
    </row>
    <row r="4" ht="23.85" customHeight="1" s="15">
      <c r="A4" s="17" t="n">
        <v>3</v>
      </c>
      <c r="B4" s="17" t="inlineStr">
        <is>
          <t>Life Time Downtown</t>
        </is>
      </c>
      <c r="C4" s="17" t="inlineStr">
        <is>
          <t>Downtown</t>
        </is>
      </c>
      <c r="D4" s="17" t="inlineStr">
        <is>
          <t>Luxury club</t>
        </is>
      </c>
      <c r="E4" s="18" t="inlineStr">
        <is>
          <t>Scrape</t>
        </is>
      </c>
      <c r="F4" s="17" t="n"/>
      <c r="G4" s="17" t="n">
        <v>0</v>
      </c>
      <c r="H4" s="17" t="n">
        <v>0</v>
      </c>
      <c r="I4" s="17" t="inlineStr">
        <is>
          <t>Month-to-month</t>
        </is>
      </c>
      <c r="J4" s="17" t="n"/>
      <c r="K4" s="19" t="inlineStr">
        <is>
          <t>Downtown location pricing not confirmed; South=$259, North=$219. Expect $250+.</t>
        </is>
      </c>
      <c r="L4" s="17" t="inlineStr">
        <is>
          <t>lifetime.life</t>
        </is>
      </c>
      <c r="M4" s="21" t="inlineStr">
        <is>
          <t>CONFIRMED 2026-08-18</t>
        </is>
      </c>
    </row>
    <row r="5" ht="23.85" customHeight="1" s="15">
      <c r="A5" s="17" t="n">
        <v>4</v>
      </c>
      <c r="B5" s="17" t="inlineStr">
        <is>
          <t>Equinox Austin (SoCo)</t>
        </is>
      </c>
      <c r="C5" s="17" t="inlineStr">
        <is>
          <t>Downtown</t>
        </is>
      </c>
      <c r="D5" s="17" t="inlineStr">
        <is>
          <t>Luxury club</t>
        </is>
      </c>
      <c r="E5" s="22" t="inlineStr">
        <is>
          <t>Manual</t>
        </is>
      </c>
      <c r="F5" s="17" t="n"/>
      <c r="G5" s="17" t="n"/>
      <c r="H5" s="17" t="n"/>
      <c r="I5" s="17" t="n"/>
      <c r="J5" s="17" t="n"/>
      <c r="K5" s="19" t="inlineStr">
        <is>
          <t>No public pricing — consult-gated. Expect $250-350/mo based on national rates. Call.</t>
        </is>
      </c>
      <c r="L5" s="17" t="inlineStr">
        <is>
          <t>equinox.com</t>
        </is>
      </c>
      <c r="M5" s="21" t="inlineStr">
        <is>
          <t>Need price</t>
        </is>
      </c>
    </row>
    <row r="6" ht="15" customHeight="1" s="15">
      <c r="A6" s="17" t="n">
        <v>5</v>
      </c>
      <c r="B6" s="17" t="inlineStr">
        <is>
          <t>Barry's Austin</t>
        </is>
      </c>
      <c r="C6" s="17" t="inlineStr">
        <is>
          <t>Downtown</t>
        </is>
      </c>
      <c r="D6" s="17" t="inlineStr">
        <is>
          <t>HIIT classes</t>
        </is>
      </c>
      <c r="E6" s="22" t="inlineStr">
        <is>
          <t>Manual</t>
        </is>
      </c>
      <c r="F6" s="17" t="n"/>
      <c r="G6" s="17" t="n"/>
      <c r="H6" s="17" t="n"/>
      <c r="I6" s="17" t="n"/>
      <c r="J6" s="17" t="n"/>
      <c r="K6" s="19" t="inlineStr">
        <is>
          <t>Class-pack model; intro offer exists. Get pack pricing.</t>
        </is>
      </c>
      <c r="L6" s="17" t="inlineStr">
        <is>
          <t>barrys.com</t>
        </is>
      </c>
      <c r="M6" s="21" t="inlineStr">
        <is>
          <t>Need price</t>
        </is>
      </c>
    </row>
    <row r="7" ht="23.85" customHeight="1" s="15">
      <c r="A7" s="17" t="n">
        <v>6</v>
      </c>
      <c r="B7" s="17" t="inlineStr">
        <is>
          <t>Studio Three</t>
        </is>
      </c>
      <c r="C7" s="17" t="inlineStr">
        <is>
          <t>Downtown</t>
        </is>
      </c>
      <c r="D7" s="17" t="inlineStr">
        <is>
          <t>HIIT/yoga/cycle</t>
        </is>
      </c>
      <c r="E7" s="22" t="inlineStr">
        <is>
          <t>Manual</t>
        </is>
      </c>
      <c r="F7" s="17" t="n"/>
      <c r="G7" s="17" t="n"/>
      <c r="H7" s="17" t="n"/>
      <c r="I7" s="17" t="n"/>
      <c r="J7" s="17" t="n"/>
      <c r="K7" s="19" t="inlineStr">
        <is>
          <t>Three studios one roof; intro offer. Pack + unlimited pricing needed.</t>
        </is>
      </c>
      <c r="L7" s="17" t="inlineStr">
        <is>
          <t>studiothree.com</t>
        </is>
      </c>
      <c r="M7" s="21" t="inlineStr">
        <is>
          <t>Need price</t>
        </is>
      </c>
    </row>
    <row r="8" ht="15" customHeight="1" s="15">
      <c r="A8" s="17" t="n">
        <v>7</v>
      </c>
      <c r="B8" s="17" t="inlineStr">
        <is>
          <t>F45 Downtown</t>
        </is>
      </c>
      <c r="C8" s="17" t="inlineStr">
        <is>
          <t>Downtown</t>
        </is>
      </c>
      <c r="D8" s="17" t="inlineStr">
        <is>
          <t>HIIT classes</t>
        </is>
      </c>
      <c r="E8" s="22" t="inlineStr">
        <is>
          <t>Manual</t>
        </is>
      </c>
      <c r="F8" s="17" t="n"/>
      <c r="G8" s="17" t="n"/>
      <c r="H8" s="17" t="n"/>
      <c r="I8" s="17" t="n"/>
      <c r="J8" s="17" t="n"/>
      <c r="K8" s="19" t="inlineStr">
        <is>
          <t>Franchise pricing varies per location. Call.</t>
        </is>
      </c>
      <c r="L8" s="17" t="inlineStr">
        <is>
          <t>f45training.com</t>
        </is>
      </c>
      <c r="M8" s="21" t="inlineStr">
        <is>
          <t>Need price</t>
        </is>
      </c>
    </row>
    <row r="9" ht="15" customHeight="1" s="15">
      <c r="A9" s="17" t="n">
        <v>8</v>
      </c>
      <c r="B9" s="17" t="inlineStr">
        <is>
          <t>[solidcore] Austin</t>
        </is>
      </c>
      <c r="C9" s="17" t="inlineStr">
        <is>
          <t>Downtown</t>
        </is>
      </c>
      <c r="D9" s="17" t="inlineStr">
        <is>
          <t>Pilates</t>
        </is>
      </c>
      <c r="E9" s="22" t="inlineStr">
        <is>
          <t>Manual</t>
        </is>
      </c>
      <c r="F9" s="17" t="n"/>
      <c r="G9" s="17" t="n"/>
      <c r="H9" s="17" t="n"/>
      <c r="I9" s="17" t="n"/>
      <c r="J9" s="17" t="n"/>
      <c r="K9" s="19" t="inlineStr">
        <is>
          <t>Class packs; national brand, prices vary by studio.</t>
        </is>
      </c>
      <c r="L9" s="17" t="inlineStr">
        <is>
          <t>solidcore.co</t>
        </is>
      </c>
      <c r="M9" s="21" t="inlineStr">
        <is>
          <t>Need price</t>
        </is>
      </c>
    </row>
    <row r="10" ht="15" customHeight="1" s="15">
      <c r="A10" s="17" t="n">
        <v>9</v>
      </c>
      <c r="B10" s="17" t="inlineStr">
        <is>
          <t>Lift ATX</t>
        </is>
      </c>
      <c r="C10" s="17" t="inlineStr">
        <is>
          <t>Downtown</t>
        </is>
      </c>
      <c r="D10" s="17" t="inlineStr">
        <is>
          <t>Gym / weights</t>
        </is>
      </c>
      <c r="E10" s="18" t="inlineStr">
        <is>
          <t>Scrape</t>
        </is>
      </c>
      <c r="F10" s="17" t="n">
        <v>40</v>
      </c>
      <c r="G10" s="17" t="n"/>
      <c r="H10" s="17" t="n"/>
      <c r="I10" s="17" t="n"/>
      <c r="J10" s="17" t="n"/>
      <c r="K10" s="19" t="inlineStr">
        <is>
          <t>~$40/mo per local coverage. Confirm fees.</t>
        </is>
      </c>
      <c r="L10" s="17" t="inlineStr">
        <is>
          <t>liftatx.com</t>
        </is>
      </c>
      <c r="M10" s="20" t="inlineStr">
        <is>
          <t>Need price</t>
        </is>
      </c>
    </row>
    <row r="11" ht="15" customHeight="1" s="15">
      <c r="A11" s="17" t="n">
        <v>10</v>
      </c>
      <c r="B11" s="17" t="inlineStr">
        <is>
          <t>FeV Iron Vault Gym</t>
        </is>
      </c>
      <c r="C11" s="17" t="inlineStr">
        <is>
          <t>Downtown</t>
        </is>
      </c>
      <c r="D11" s="17" t="inlineStr">
        <is>
          <t>Gym / weights</t>
        </is>
      </c>
      <c r="E11" s="22" t="inlineStr">
        <is>
          <t>Manual</t>
        </is>
      </c>
      <c r="F11" s="17" t="n"/>
      <c r="G11" s="17" t="n"/>
      <c r="H11" s="17" t="n"/>
      <c r="I11" s="17" t="n"/>
      <c r="J11" s="17" t="n"/>
      <c r="K11" s="19" t="inlineStr">
        <is>
          <t>Lifting-focused; top Yelp result. Pricing not public.</t>
        </is>
      </c>
      <c r="L11" s="17" t="inlineStr">
        <is>
          <t>fevgym.com</t>
        </is>
      </c>
      <c r="M11" s="21" t="inlineStr">
        <is>
          <t>Need price</t>
        </is>
      </c>
    </row>
    <row r="12" ht="23.85" customHeight="1" s="15">
      <c r="A12" s="17" t="n">
        <v>11</v>
      </c>
      <c r="B12" s="17" t="inlineStr">
        <is>
          <t>Planet Fitness E. Riverside</t>
        </is>
      </c>
      <c r="C12" s="17" t="inlineStr">
        <is>
          <t>East Austin</t>
        </is>
      </c>
      <c r="D12" s="17" t="inlineStr">
        <is>
          <t>Gym / weights</t>
        </is>
      </c>
      <c r="E12" s="18" t="inlineStr">
        <is>
          <t>Scrape</t>
        </is>
      </c>
      <c r="F12" s="17" t="n">
        <v>15</v>
      </c>
      <c r="G12" s="17" t="n">
        <v>1</v>
      </c>
      <c r="H12" s="17" t="n">
        <v>49</v>
      </c>
      <c r="I12" s="17" t="inlineStr">
        <is>
          <t>None ($15 tier)</t>
        </is>
      </c>
      <c r="J12" s="17" t="n"/>
      <c r="K12" s="19" t="inlineStr">
        <is>
          <t>$15 Classic / $24.99 Black Card; $1 startup promos common; annual fee ~$49.</t>
        </is>
      </c>
      <c r="L12" s="17" t="inlineStr">
        <is>
          <t>planetfitness.com</t>
        </is>
      </c>
      <c r="M12" s="20" t="inlineStr">
        <is>
          <t>Promo-only — recheck</t>
        </is>
      </c>
    </row>
    <row r="13" ht="15" customHeight="1" s="15">
      <c r="A13" s="17" t="n">
        <v>12</v>
      </c>
      <c r="B13" s="17" t="inlineStr">
        <is>
          <t>East Austin Athletic Club</t>
        </is>
      </c>
      <c r="C13" s="17" t="inlineStr">
        <is>
          <t>East Austin</t>
        </is>
      </c>
      <c r="D13" s="17" t="inlineStr">
        <is>
          <t>Classes + boxing</t>
        </is>
      </c>
      <c r="E13" s="18" t="inlineStr">
        <is>
          <t>Scrape</t>
        </is>
      </c>
      <c r="F13" s="17" t="n">
        <v>159</v>
      </c>
      <c r="G13" s="17" t="n">
        <v>0</v>
      </c>
      <c r="H13" s="17" t="n">
        <v>0</v>
      </c>
      <c r="I13" s="17" t="inlineStr">
        <is>
          <t>1-week notice</t>
        </is>
      </c>
      <c r="J13" s="17" t="n"/>
      <c r="K13" s="19" t="inlineStr">
        <is>
          <t>$159/mo unlimited classes; no contracts; 7-workouts-$20 intro.</t>
        </is>
      </c>
      <c r="L13" s="17" t="inlineStr">
        <is>
          <t>eastaustinathleticclub.com</t>
        </is>
      </c>
      <c r="M13" s="20" t="inlineStr">
        <is>
          <t>CONFIRMED 2026-08-18</t>
        </is>
      </c>
    </row>
    <row r="14" ht="15" customHeight="1" s="15">
      <c r="A14" s="17" t="n">
        <v>13</v>
      </c>
      <c r="B14" s="17" t="inlineStr">
        <is>
          <t>Austin Bouldering Project</t>
        </is>
      </c>
      <c r="C14" s="17" t="inlineStr">
        <is>
          <t>East Austin</t>
        </is>
      </c>
      <c r="D14" s="17" t="inlineStr">
        <is>
          <t>Climbing</t>
        </is>
      </c>
      <c r="E14" s="18" t="inlineStr">
        <is>
          <t>Scrape</t>
        </is>
      </c>
      <c r="F14" s="17" t="n"/>
      <c r="G14" s="17" t="n"/>
      <c r="H14" s="17" t="n"/>
      <c r="I14" s="17" t="n"/>
      <c r="J14" s="17" t="n"/>
      <c r="K14" s="19" t="inlineStr">
        <is>
          <t>50k sqft bouldering + yoga + fitness. Membership tiers on site.</t>
        </is>
      </c>
      <c r="L14" s="17" t="inlineStr">
        <is>
          <t>austinboulderingproject.com</t>
        </is>
      </c>
      <c r="M14" s="21" t="inlineStr">
        <is>
          <t>CONFIRMED 2026-08-18</t>
        </is>
      </c>
    </row>
    <row r="15" ht="23.85" customHeight="1" s="15">
      <c r="A15" s="17" t="n">
        <v>14</v>
      </c>
      <c r="B15" s="17" t="inlineStr">
        <is>
          <t>Onnit Gym (Korrect Fitness)</t>
        </is>
      </c>
      <c r="C15" s="17" t="inlineStr">
        <is>
          <t>East Austin</t>
        </is>
      </c>
      <c r="D15" s="17" t="inlineStr">
        <is>
          <t>Gym + classes</t>
        </is>
      </c>
      <c r="E15" s="22" t="inlineStr">
        <is>
          <t>Manual</t>
        </is>
      </c>
      <c r="F15" s="17" t="n"/>
      <c r="G15" s="17" t="n"/>
      <c r="H15" s="17" t="n"/>
      <c r="I15" s="17" t="n"/>
      <c r="J15" s="17" t="n"/>
      <c r="K15" s="19" t="inlineStr">
        <is>
          <t>Rebranded to Korrect Fitness 2025; 4401 Freidrich Ln. Verify name + pricing.</t>
        </is>
      </c>
      <c r="L15" s="17" t="inlineStr">
        <is>
          <t>korrectfitness.com</t>
        </is>
      </c>
      <c r="M15" s="21" t="inlineStr">
        <is>
          <t>Need price</t>
        </is>
      </c>
    </row>
    <row r="16" ht="15" customHeight="1" s="15">
      <c r="A16" s="17" t="n">
        <v>15</v>
      </c>
      <c r="B16" s="17" t="inlineStr">
        <is>
          <t>Travis County Strength</t>
        </is>
      </c>
      <c r="C16" s="17" t="inlineStr">
        <is>
          <t>East Austin</t>
        </is>
      </c>
      <c r="D16" s="17" t="inlineStr">
        <is>
          <t>Strength coaching</t>
        </is>
      </c>
      <c r="E16" s="18" t="inlineStr">
        <is>
          <t>Scrape</t>
        </is>
      </c>
      <c r="F16" s="17" t="n">
        <v>240</v>
      </c>
      <c r="G16" s="17" t="n"/>
      <c r="H16" s="17" t="n"/>
      <c r="I16" s="17" t="n"/>
      <c r="J16" s="17" t="n"/>
      <c r="K16" s="19" t="inlineStr">
        <is>
          <t>$80/4 visits, $160/8, $240 unlimited (2023 data — verify).</t>
        </is>
      </c>
      <c r="L16" s="17" t="inlineStr">
        <is>
          <t>traviscountystrength.com</t>
        </is>
      </c>
      <c r="M16" s="20" t="inlineStr">
        <is>
          <t>Need price</t>
        </is>
      </c>
    </row>
    <row r="17" ht="23.85" customHeight="1" s="15">
      <c r="A17" s="17" t="n">
        <v>16</v>
      </c>
      <c r="B17" s="17" t="inlineStr">
        <is>
          <t>Big Tex Gym</t>
        </is>
      </c>
      <c r="C17" s="17" t="inlineStr">
        <is>
          <t>North Loop</t>
        </is>
      </c>
      <c r="D17" s="17" t="inlineStr">
        <is>
          <t>Gym / weights</t>
        </is>
      </c>
      <c r="E17" s="18" t="inlineStr">
        <is>
          <t>Scrape</t>
        </is>
      </c>
      <c r="F17" s="17" t="n">
        <v>55</v>
      </c>
      <c r="G17" s="17" t="n">
        <v>0</v>
      </c>
      <c r="H17" s="17" t="n">
        <v>45</v>
      </c>
      <c r="I17" s="17" t="inlineStr">
        <is>
          <t>Month-to-month</t>
        </is>
      </c>
      <c r="J17" s="17" t="n">
        <v>15</v>
      </c>
      <c r="K17" s="19" t="inlineStr">
        <is>
          <t>$45/yr maintenance fee charged 75 days after signup. 24/7 key tag. Verify day pass.</t>
        </is>
      </c>
      <c r="L17" s="17" t="inlineStr">
        <is>
          <t>bigtexgym.com</t>
        </is>
      </c>
      <c r="M17" s="20" t="inlineStr">
        <is>
          <t>CONFIRMED 2026-08-18</t>
        </is>
      </c>
    </row>
    <row r="18" ht="23.85" customHeight="1" s="15">
      <c r="A18" s="17" t="n">
        <v>17</v>
      </c>
      <c r="B18" s="17" t="inlineStr">
        <is>
          <t>Hyde Park Gym</t>
        </is>
      </c>
      <c r="C18" s="17" t="inlineStr">
        <is>
          <t>Hyde Park</t>
        </is>
      </c>
      <c r="D18" s="17" t="inlineStr">
        <is>
          <t>Gym / weights</t>
        </is>
      </c>
      <c r="E18" s="18" t="inlineStr">
        <is>
          <t>Scrape</t>
        </is>
      </c>
      <c r="F18" s="17" t="n">
        <v>49</v>
      </c>
      <c r="G18" s="17" t="n"/>
      <c r="H18" s="17" t="n"/>
      <c r="I18" s="17" t="inlineStr">
        <is>
          <t>Month-to-month</t>
        </is>
      </c>
      <c r="J18" s="17" t="n"/>
      <c r="K18" s="19" t="inlineStr">
        <is>
          <t>1yr/6mo/3mo/punchcard/week/visit options on site; free 7-day pass. Confirm rates.</t>
        </is>
      </c>
      <c r="L18" s="17" t="inlineStr">
        <is>
          <t>hydeparkgym.com</t>
        </is>
      </c>
      <c r="M18" s="20" t="inlineStr">
        <is>
          <t>CONFIRMED 2026-08-18</t>
        </is>
      </c>
    </row>
    <row r="19" ht="15" customHeight="1" s="15">
      <c r="A19" s="17" t="n">
        <v>18</v>
      </c>
      <c r="B19" s="17" t="inlineStr">
        <is>
          <t>Grassiron</t>
        </is>
      </c>
      <c r="C19" s="17" t="inlineStr">
        <is>
          <t>Hyde Park</t>
        </is>
      </c>
      <c r="D19" s="17" t="inlineStr">
        <is>
          <t>Personal training</t>
        </is>
      </c>
      <c r="E19" s="18" t="inlineStr">
        <is>
          <t>Scrape</t>
        </is>
      </c>
      <c r="F19" s="17" t="n">
        <v>249</v>
      </c>
      <c r="G19" s="17" t="n"/>
      <c r="H19" s="17" t="n"/>
      <c r="I19" s="17" t="n"/>
      <c r="J19" s="17" t="n"/>
      <c r="K19" s="19" t="inlineStr">
        <is>
          <t>$189-299/mo PT-based tiers (2023 data — verify).</t>
        </is>
      </c>
      <c r="L19" s="17" t="inlineStr">
        <is>
          <t>grassiron.com</t>
        </is>
      </c>
      <c r="M19" s="20" t="inlineStr">
        <is>
          <t>Need price</t>
        </is>
      </c>
    </row>
    <row r="20" ht="15" customHeight="1" s="15">
      <c r="A20" s="17" t="n">
        <v>19</v>
      </c>
      <c r="B20" s="17" t="inlineStr">
        <is>
          <t>Curves / Anytime Fitness N. Loop</t>
        </is>
      </c>
      <c r="C20" s="17" t="inlineStr">
        <is>
          <t>Hyde Park</t>
        </is>
      </c>
      <c r="D20" s="17" t="inlineStr">
        <is>
          <t>Gym / weights</t>
        </is>
      </c>
      <c r="E20" s="22" t="inlineStr">
        <is>
          <t>Manual</t>
        </is>
      </c>
      <c r="F20" s="17" t="n"/>
      <c r="G20" s="17" t="n"/>
      <c r="H20" s="17" t="n"/>
      <c r="I20" s="17" t="n"/>
      <c r="J20" s="17" t="n"/>
      <c r="K20" s="19" t="inlineStr">
        <is>
          <t>Franchise pricing varies. Call location.</t>
        </is>
      </c>
      <c r="L20" s="17" t="inlineStr">
        <is>
          <t>anytimefitness.com</t>
        </is>
      </c>
      <c r="M20" s="21" t="inlineStr">
        <is>
          <t>Need price</t>
        </is>
      </c>
    </row>
    <row r="21" ht="23.85" customHeight="1" s="15">
      <c r="A21" s="17" t="n">
        <v>20</v>
      </c>
      <c r="B21" s="17" t="inlineStr">
        <is>
          <t>Life Time South</t>
        </is>
      </c>
      <c r="C21" s="17" t="inlineStr">
        <is>
          <t>South / SoCo</t>
        </is>
      </c>
      <c r="D21" s="17" t="inlineStr">
        <is>
          <t>Luxury club</t>
        </is>
      </c>
      <c r="E21" s="18" t="inlineStr">
        <is>
          <t>Scrape</t>
        </is>
      </c>
      <c r="F21" s="17" t="n">
        <v>259</v>
      </c>
      <c r="G21" s="17" t="n">
        <v>0</v>
      </c>
      <c r="H21" s="17" t="n">
        <v>0</v>
      </c>
      <c r="I21" s="17" t="inlineStr">
        <is>
          <t>Month-to-month</t>
        </is>
      </c>
      <c r="J21" s="17" t="n"/>
      <c r="K21" s="19" t="inlineStr">
        <is>
          <t>$259/mo confirmed on site; month-to-month, 30-day cancel notice.</t>
        </is>
      </c>
      <c r="L21" s="17" t="inlineStr">
        <is>
          <t>lifetime.life</t>
        </is>
      </c>
      <c r="M21" s="20" t="inlineStr">
        <is>
          <t>CONFIRMED 2026-08-18</t>
        </is>
      </c>
    </row>
    <row r="22" ht="23.85" customHeight="1" s="15">
      <c r="A22" s="17" t="n">
        <v>21</v>
      </c>
      <c r="B22" s="17" t="inlineStr">
        <is>
          <t>Crunch South Austin</t>
        </is>
      </c>
      <c r="C22" s="17" t="inlineStr">
        <is>
          <t>South / SoCo</t>
        </is>
      </c>
      <c r="D22" s="17" t="inlineStr">
        <is>
          <t>Gym / weights</t>
        </is>
      </c>
      <c r="E22" s="18" t="inlineStr">
        <is>
          <t>Scrape</t>
        </is>
      </c>
      <c r="F22" s="17" t="n">
        <v>10</v>
      </c>
      <c r="G22" s="17" t="n"/>
      <c r="H22" s="17" t="n"/>
      <c r="I22" s="17" t="inlineStr">
        <is>
          <t>12mo on Base</t>
        </is>
      </c>
      <c r="J22" s="17" t="n"/>
      <c r="K22" s="19" t="inlineStr">
        <is>
          <t>$9.99 Base w/ 12-mo commit; Peak ~$27; Peak Results ~$35; enrollment + annual fees vary.</t>
        </is>
      </c>
      <c r="L22" s="17" t="inlineStr">
        <is>
          <t>crunch.com</t>
        </is>
      </c>
      <c r="M22" s="20" t="inlineStr">
        <is>
          <t>CONFIRMED 2026-08-18</t>
        </is>
      </c>
    </row>
    <row r="23" ht="23.85" customHeight="1" s="15">
      <c r="A23" s="17" t="n">
        <v>22</v>
      </c>
      <c r="B23" s="17" t="inlineStr">
        <is>
          <t>Kollective</t>
        </is>
      </c>
      <c r="C23" s="17" t="inlineStr">
        <is>
          <t>South / SoCo</t>
        </is>
      </c>
      <c r="D23" s="17" t="inlineStr">
        <is>
          <t>Luxury social club</t>
        </is>
      </c>
      <c r="E23" s="22" t="inlineStr">
        <is>
          <t>Manual</t>
        </is>
      </c>
      <c r="F23" s="17" t="n">
        <v>399</v>
      </c>
      <c r="G23" s="17" t="n"/>
      <c r="H23" s="17" t="n"/>
      <c r="I23" s="17" t="n"/>
      <c r="J23" s="17" t="n"/>
      <c r="K23" s="19" t="inlineStr">
        <is>
          <t>$399-500/mo reported; membership application model. Confirm current rate + initiation.</t>
        </is>
      </c>
      <c r="L23" s="17" t="inlineStr">
        <is>
          <t>kollective.com</t>
        </is>
      </c>
      <c r="M23" s="20" t="inlineStr">
        <is>
          <t>Need price</t>
        </is>
      </c>
    </row>
    <row r="24" ht="23.85" customHeight="1" s="15">
      <c r="A24" s="17" t="n">
        <v>23</v>
      </c>
      <c r="B24" s="17" t="inlineStr">
        <is>
          <t>Atomic Athlete</t>
        </is>
      </c>
      <c r="C24" s="17" t="inlineStr">
        <is>
          <t>South / SoCo</t>
        </is>
      </c>
      <c r="D24" s="17" t="inlineStr">
        <is>
          <t>Strength + classes</t>
        </is>
      </c>
      <c r="E24" s="22" t="inlineStr">
        <is>
          <t>Manual</t>
        </is>
      </c>
      <c r="F24" s="17" t="n"/>
      <c r="G24" s="17" t="n"/>
      <c r="H24" s="17" t="n"/>
      <c r="I24" s="17" t="n"/>
      <c r="J24" s="17" t="n"/>
      <c r="K24" s="19" t="inlineStr">
        <is>
          <t>HQ south location; open gym 5am-11pm + classes. Pricing partially public — verify.</t>
        </is>
      </c>
      <c r="L24" s="17" t="inlineStr">
        <is>
          <t>atomic-athlete.com</t>
        </is>
      </c>
      <c r="M24" s="21" t="inlineStr">
        <is>
          <t>Need price</t>
        </is>
      </c>
    </row>
    <row r="25" ht="15" customHeight="1" s="15">
      <c r="A25" s="17" t="n">
        <v>24</v>
      </c>
      <c r="B25" s="17" t="inlineStr">
        <is>
          <t>CrossFit Austin</t>
        </is>
      </c>
      <c r="C25" s="17" t="inlineStr">
        <is>
          <t>South / SoCo</t>
        </is>
      </c>
      <c r="D25" s="17" t="inlineStr">
        <is>
          <t>CrossFit</t>
        </is>
      </c>
      <c r="E25" s="22" t="inlineStr">
        <is>
          <t>Manual</t>
        </is>
      </c>
      <c r="F25" s="17" t="n"/>
      <c r="G25" s="17" t="n"/>
      <c r="H25" s="17" t="n"/>
      <c r="I25" s="17" t="n"/>
      <c r="J25" s="17" t="n"/>
      <c r="K25" s="19" t="inlineStr">
        <is>
          <t>8708 S Congress. Class-based tiers. Call.</t>
        </is>
      </c>
      <c r="L25" s="17" t="inlineStr">
        <is>
          <t>crossfitaustin.com</t>
        </is>
      </c>
      <c r="M25" s="21" t="inlineStr">
        <is>
          <t>Need price</t>
        </is>
      </c>
    </row>
    <row r="26" ht="23.85" customHeight="1" s="15">
      <c r="A26" s="17" t="n">
        <v>25</v>
      </c>
      <c r="B26" s="17" t="inlineStr">
        <is>
          <t>Crux Climbing Center South</t>
        </is>
      </c>
      <c r="C26" s="17" t="inlineStr">
        <is>
          <t>South / SoCo</t>
        </is>
      </c>
      <c r="D26" s="17" t="inlineStr">
        <is>
          <t>Climbing</t>
        </is>
      </c>
      <c r="E26" s="18" t="inlineStr">
        <is>
          <t>Scrape</t>
        </is>
      </c>
      <c r="F26" s="17" t="n"/>
      <c r="G26" s="17" t="n"/>
      <c r="H26" s="17" t="n"/>
      <c r="I26" s="17" t="n"/>
      <c r="J26" s="17" t="n"/>
      <c r="K26" s="19" t="inlineStr">
        <is>
          <t>Rates page public; gear rental $23/mo; locker $10/mo. Pull membership tiers.</t>
        </is>
      </c>
      <c r="L26" s="17" t="inlineStr">
        <is>
          <t>cruxclimbingcenter.com</t>
        </is>
      </c>
      <c r="M26" s="21" t="inlineStr">
        <is>
          <t>CONFIRMED 2026-08-18</t>
        </is>
      </c>
    </row>
    <row r="27" ht="15" customHeight="1" s="15">
      <c r="A27" s="17" t="n">
        <v>26</v>
      </c>
      <c r="B27" s="17" t="inlineStr">
        <is>
          <t>Rumble Boxing S. Austin</t>
        </is>
      </c>
      <c r="C27" s="17" t="inlineStr">
        <is>
          <t>South / SoCo</t>
        </is>
      </c>
      <c r="D27" s="17" t="inlineStr">
        <is>
          <t>Boxing classes</t>
        </is>
      </c>
      <c r="E27" s="22" t="inlineStr">
        <is>
          <t>Manual</t>
        </is>
      </c>
      <c r="F27" s="17" t="n"/>
      <c r="G27" s="17" t="n"/>
      <c r="H27" s="17" t="n"/>
      <c r="I27" s="17" t="n"/>
      <c r="J27" s="17" t="n"/>
      <c r="K27" s="19" t="inlineStr">
        <is>
          <t>Class packs. Call.</t>
        </is>
      </c>
      <c r="L27" s="17" t="inlineStr">
        <is>
          <t>rumbleboxinggym.com</t>
        </is>
      </c>
      <c r="M27" s="21" t="inlineStr">
        <is>
          <t>Need price</t>
        </is>
      </c>
    </row>
    <row r="28" ht="15" customHeight="1" s="15">
      <c r="A28" s="17" t="n">
        <v>27</v>
      </c>
      <c r="B28" s="17" t="inlineStr">
        <is>
          <t>Los Campeones South</t>
        </is>
      </c>
      <c r="C28" s="17" t="inlineStr">
        <is>
          <t>South / SoCo</t>
        </is>
      </c>
      <c r="D28" s="17" t="inlineStr">
        <is>
          <t>Gym / weights</t>
        </is>
      </c>
      <c r="E28" s="18" t="inlineStr">
        <is>
          <t>Scrape</t>
        </is>
      </c>
      <c r="F28" s="17" t="n">
        <v>89</v>
      </c>
      <c r="G28" s="17" t="n">
        <v>0</v>
      </c>
      <c r="H28" s="17" t="n">
        <v>0</v>
      </c>
      <c r="I28" s="17" t="inlineStr">
        <is>
          <t>No contract</t>
        </is>
      </c>
      <c r="J28" s="17" t="n"/>
      <c r="K28" s="19" t="inlineStr">
        <is>
          <t>$89/mo no contract all access; opens 4am weekdays.</t>
        </is>
      </c>
      <c r="L28" s="17" t="inlineStr">
        <is>
          <t>loscampeonesaustin.com</t>
        </is>
      </c>
      <c r="M28" s="20" t="inlineStr">
        <is>
          <t>CONFIRMED 2026-08-18</t>
        </is>
      </c>
    </row>
    <row r="29" ht="15" customHeight="1" s="15">
      <c r="A29" s="17" t="n">
        <v>28</v>
      </c>
      <c r="B29" s="17" t="inlineStr">
        <is>
          <t>Los Campeones North</t>
        </is>
      </c>
      <c r="C29" s="17" t="inlineStr">
        <is>
          <t>Mueller</t>
        </is>
      </c>
      <c r="D29" s="17" t="inlineStr">
        <is>
          <t>Gym / weights</t>
        </is>
      </c>
      <c r="E29" s="18" t="inlineStr">
        <is>
          <t>Scrape</t>
        </is>
      </c>
      <c r="F29" s="17" t="n">
        <v>89</v>
      </c>
      <c r="G29" s="17" t="n">
        <v>0</v>
      </c>
      <c r="H29" s="17" t="n">
        <v>0</v>
      </c>
      <c r="I29" s="17" t="inlineStr">
        <is>
          <t>No contract</t>
        </is>
      </c>
      <c r="J29" s="17" t="n"/>
      <c r="K29" s="19" t="inlineStr">
        <is>
          <t>Same $89 no-contract structure as South.</t>
        </is>
      </c>
      <c r="L29" s="17" t="inlineStr">
        <is>
          <t>loscampeonesaustin.com</t>
        </is>
      </c>
      <c r="M29" s="20" t="inlineStr">
        <is>
          <t>CONFIRMED 2026-08-18</t>
        </is>
      </c>
    </row>
    <row r="30" ht="15" customHeight="1" s="15">
      <c r="A30" s="17" t="n">
        <v>29</v>
      </c>
      <c r="B30" s="17" t="inlineStr">
        <is>
          <t>Gold's Gym North (Burnet)</t>
        </is>
      </c>
      <c r="C30" s="17" t="inlineStr">
        <is>
          <t>Mueller</t>
        </is>
      </c>
      <c r="D30" s="17" t="inlineStr">
        <is>
          <t>Gym / weights</t>
        </is>
      </c>
      <c r="E30" s="18" t="inlineStr">
        <is>
          <t>Scrape</t>
        </is>
      </c>
      <c r="F30" s="17" t="n"/>
      <c r="G30" s="17" t="n"/>
      <c r="H30" s="17" t="n"/>
      <c r="I30" s="17" t="n"/>
      <c r="J30" s="17" t="n"/>
      <c r="K30" s="19" t="inlineStr">
        <is>
          <t>New 30k sqft flagship on Burnet Rd (2025). Verify tiers.</t>
        </is>
      </c>
      <c r="L30" s="17" t="inlineStr">
        <is>
          <t>goldsgym.com</t>
        </is>
      </c>
      <c r="M30" s="21" t="inlineStr">
        <is>
          <t>Need price</t>
        </is>
      </c>
    </row>
    <row r="31" ht="15" customHeight="1" s="15">
      <c r="A31" s="17" t="n">
        <v>30</v>
      </c>
      <c r="B31" s="17" t="inlineStr">
        <is>
          <t>Orangetheory Austin</t>
        </is>
      </c>
      <c r="C31" s="17" t="inlineStr">
        <is>
          <t>Mueller</t>
        </is>
      </c>
      <c r="D31" s="17" t="inlineStr">
        <is>
          <t>HIIT classes</t>
        </is>
      </c>
      <c r="E31" s="22" t="inlineStr">
        <is>
          <t>Manual</t>
        </is>
      </c>
      <c r="F31" s="17" t="n"/>
      <c r="G31" s="17" t="n"/>
      <c r="H31" s="17" t="n"/>
      <c r="I31" s="17" t="n"/>
      <c r="J31" s="17" t="n"/>
      <c r="K31" s="19" t="inlineStr">
        <is>
          <t>Class-based: Basic/Elite/Premier tiers. Varies by studio. Call.</t>
        </is>
      </c>
      <c r="L31" s="17" t="inlineStr">
        <is>
          <t>orangetheory.com</t>
        </is>
      </c>
      <c r="M31" s="21" t="inlineStr">
        <is>
          <t>Need price</t>
        </is>
      </c>
    </row>
    <row r="32" ht="23.85" customHeight="1" s="15">
      <c r="A32" s="17" t="n">
        <v>31</v>
      </c>
      <c r="B32" s="17" t="inlineStr">
        <is>
          <t>YMCA (Greater Austin)</t>
        </is>
      </c>
      <c r="C32" s="17" t="inlineStr">
        <is>
          <t>Mueller</t>
        </is>
      </c>
      <c r="D32" s="17" t="inlineStr">
        <is>
          <t>Community gym</t>
        </is>
      </c>
      <c r="E32" s="18" t="inlineStr">
        <is>
          <t>Scrape</t>
        </is>
      </c>
      <c r="F32" s="17" t="n">
        <v>57</v>
      </c>
      <c r="G32" s="17" t="n"/>
      <c r="H32" s="17" t="n"/>
      <c r="I32" s="17" t="inlineStr">
        <is>
          <t>30-day notice</t>
        </is>
      </c>
      <c r="J32" s="17" t="n"/>
      <c r="K32" s="19" t="inlineStr">
        <is>
          <t>$25-114/mo range published; rate calculator on site; financial assistance available.</t>
        </is>
      </c>
      <c r="L32" s="17" t="inlineStr">
        <is>
          <t>austinymca.org</t>
        </is>
      </c>
      <c r="M32" s="20" t="inlineStr">
        <is>
          <t>CONFIRMED 2026-08-18</t>
        </is>
      </c>
    </row>
    <row r="33" ht="23.85" customHeight="1" s="15">
      <c r="A33" s="17" t="n">
        <v>32</v>
      </c>
      <c r="B33" s="17" t="inlineStr">
        <is>
          <t>24 Hour Fitness Austin Sport</t>
        </is>
      </c>
      <c r="C33" s="17" t="inlineStr">
        <is>
          <t>Mueller</t>
        </is>
      </c>
      <c r="D33" s="17" t="inlineStr">
        <is>
          <t>Gym / weights</t>
        </is>
      </c>
      <c r="E33" s="18" t="inlineStr">
        <is>
          <t>Scrape</t>
        </is>
      </c>
      <c r="F33" s="17" t="n"/>
      <c r="G33" s="17" t="n">
        <v>1</v>
      </c>
      <c r="H33" s="17" t="n">
        <v>50</v>
      </c>
      <c r="I33" s="17" t="inlineStr">
        <is>
          <t>Varies</t>
        </is>
      </c>
      <c r="J33" s="17" t="n"/>
      <c r="K33" s="19" t="inlineStr">
        <is>
          <t>Ambiguous row replaced by two real clubs: Hancock Center (1000 E 41st, region hyde-park, clubId 00372) and Research Blvd (10616, region the-domain / Arboretum, clubId 00202). Rates sit behind a POS redirect.</t>
        </is>
      </c>
      <c r="L33" s="17" t="inlineStr">
        <is>
          <t>24hourfitness.com</t>
        </is>
      </c>
      <c r="M33" s="21" t="inlineStr">
        <is>
          <t>SPLIT into 2 rows</t>
        </is>
      </c>
    </row>
    <row r="34" ht="15" customHeight="1" s="15">
      <c r="A34" s="17" t="n">
        <v>33</v>
      </c>
      <c r="B34" s="17" t="inlineStr">
        <is>
          <t>Life Time North (Domain area)</t>
        </is>
      </c>
      <c r="C34" s="17" t="inlineStr">
        <is>
          <t>The Domain</t>
        </is>
      </c>
      <c r="D34" s="17" t="inlineStr">
        <is>
          <t>Luxury club</t>
        </is>
      </c>
      <c r="E34" s="18" t="inlineStr">
        <is>
          <t>Scrape</t>
        </is>
      </c>
      <c r="F34" s="17" t="n">
        <v>219</v>
      </c>
      <c r="G34" s="17" t="n">
        <v>0</v>
      </c>
      <c r="H34" s="17" t="n">
        <v>0</v>
      </c>
      <c r="I34" s="17" t="inlineStr">
        <is>
          <t>Month-to-month</t>
        </is>
      </c>
      <c r="J34" s="17" t="n"/>
      <c r="K34" s="19" t="inlineStr">
        <is>
          <t>$219/mo confirmed on site.</t>
        </is>
      </c>
      <c r="L34" s="17" t="inlineStr">
        <is>
          <t>lifetime.life</t>
        </is>
      </c>
      <c r="M34" s="20" t="inlineStr">
        <is>
          <t>CONFIRMED 2026-08-18</t>
        </is>
      </c>
    </row>
    <row r="35" ht="23.85" customHeight="1" s="15">
      <c r="A35" s="17" t="n">
        <v>34</v>
      </c>
      <c r="B35" s="17" t="inlineStr">
        <is>
          <t>Equinox Domain</t>
        </is>
      </c>
      <c r="C35" s="17" t="inlineStr">
        <is>
          <t>The Domain</t>
        </is>
      </c>
      <c r="D35" s="17" t="inlineStr">
        <is>
          <t>Luxury club</t>
        </is>
      </c>
      <c r="E35" s="22" t="inlineStr">
        <is>
          <t>Manual</t>
        </is>
      </c>
      <c r="F35" s="17" t="n"/>
      <c r="G35" s="17" t="n"/>
      <c r="H35" s="17" t="n"/>
      <c r="I35" s="17" t="n"/>
      <c r="J35" s="17" t="n"/>
      <c r="K35" s="19" t="inlineStr">
        <is>
          <t>If open — verify location exists before listing. Consult-gated pricing.</t>
        </is>
      </c>
      <c r="L35" s="17" t="inlineStr">
        <is>
          <t>equinox.com</t>
        </is>
      </c>
      <c r="M35" s="21" t="inlineStr">
        <is>
          <t>Need price</t>
        </is>
      </c>
    </row>
    <row r="36" ht="15" customHeight="1" s="15">
      <c r="A36" s="17" t="n">
        <v>35</v>
      </c>
      <c r="B36" s="17" t="inlineStr">
        <is>
          <t>LA Fitness Anderson Lane</t>
        </is>
      </c>
      <c r="C36" s="17" t="inlineStr">
        <is>
          <t>Hyde Park / Anderson Ln</t>
        </is>
      </c>
      <c r="D36" s="17" t="inlineStr">
        <is>
          <t>Gym / weights</t>
        </is>
      </c>
      <c r="E36" s="18" t="inlineStr">
        <is>
          <t>Scrape</t>
        </is>
      </c>
      <c r="F36" s="17" t="n">
        <v>31.99</v>
      </c>
      <c r="G36" s="17" t="n">
        <v>0</v>
      </c>
      <c r="H36" s="17" t="n">
        <v>69</v>
      </c>
      <c r="I36" s="17" t="inlineStr">
        <is>
          <t>None</t>
        </is>
      </c>
      <c r="J36" s="17" t="n"/>
      <c r="K36" s="19" t="inlineStr">
        <is>
          <t>No Domain-area LA Fitness exists; Anderson Ln (2020 W Anderson, 78757, clubid 1035) is nearest. REGION AMBIGUOUS — sits between hyde-park and the-domain; placed hyde-park as the nearer of the two.</t>
        </is>
      </c>
      <c r="L36" s="17" t="inlineStr">
        <is>
          <t>lafitness.com</t>
        </is>
      </c>
      <c r="M36" s="21" t="inlineStr">
        <is>
          <t>CONFIRMED 2026-08-18</t>
        </is>
      </c>
    </row>
    <row r="37" ht="15" customHeight="1" s="15">
      <c r="A37" s="17" t="n">
        <v>36</v>
      </c>
      <c r="B37" s="17" t="inlineStr">
        <is>
          <t>EOS Fitness (Parmer - 2027)</t>
        </is>
      </c>
      <c r="C37" s="17" t="inlineStr">
        <is>
          <t>The Domain</t>
        </is>
      </c>
      <c r="D37" s="17" t="inlineStr">
        <is>
          <t>Gym / weights</t>
        </is>
      </c>
      <c r="E37" s="18" t="inlineStr">
        <is>
          <t>Scrape</t>
        </is>
      </c>
      <c r="F37" s="17" t="n"/>
      <c r="G37" s="17" t="n"/>
      <c r="H37" s="17" t="n"/>
      <c r="I37" s="17" t="n"/>
      <c r="J37" s="17" t="n"/>
      <c r="K37" s="19" t="inlineStr">
        <is>
          <t>Not open until 2027. Excluded from v1 entirely per CLAUDE.md §1 — no placeholder ships.</t>
        </is>
      </c>
      <c r="L37" s="17" t="inlineStr">
        <is>
          <t>eosfitness.com</t>
        </is>
      </c>
      <c r="M37" s="21" t="inlineStr">
        <is>
          <t>DROPPED from v1</t>
        </is>
      </c>
    </row>
    <row r="38" ht="23.85" customHeight="1" s="15">
      <c r="A38" s="17" t="n">
        <v>37</v>
      </c>
      <c r="B38" s="17" t="inlineStr">
        <is>
          <t>Black Swan Yoga (Downtown)</t>
        </is>
      </c>
      <c r="C38" s="17" t="inlineStr">
        <is>
          <t>Downtown</t>
        </is>
      </c>
      <c r="D38" s="17" t="inlineStr">
        <is>
          <t>Yoga</t>
        </is>
      </c>
      <c r="E38" s="18" t="inlineStr">
        <is>
          <t>Scrape</t>
        </is>
      </c>
      <c r="F38" s="17" t="n"/>
      <c r="G38" s="17" t="n"/>
      <c r="H38" s="17" t="n"/>
      <c r="I38" s="17" t="n"/>
      <c r="J38" s="17" t="n"/>
      <c r="K38" s="19" t="inlineStr">
        <is>
          <t>Donation-based model — schema edge case: price = 'donation ($12-18 suggested)'.</t>
        </is>
      </c>
      <c r="L38" s="17" t="inlineStr">
        <is>
          <t>blackswanyoga.com</t>
        </is>
      </c>
      <c r="M38" s="21" t="inlineStr">
        <is>
          <t>Need price</t>
        </is>
      </c>
    </row>
    <row r="39" ht="23.85" customHeight="1" s="15">
      <c r="A39" s="17" t="n">
        <v>38</v>
      </c>
      <c r="B39" s="17" t="inlineStr">
        <is>
          <t>CorePower Yoga Austin</t>
        </is>
      </c>
      <c r="C39" s="17" t="inlineStr">
        <is>
          <t>Downtown</t>
        </is>
      </c>
      <c r="D39" s="17" t="inlineStr">
        <is>
          <t>Yoga</t>
        </is>
      </c>
      <c r="E39" s="22" t="inlineStr">
        <is>
          <t>Manual</t>
        </is>
      </c>
      <c r="F39" s="17" t="n"/>
      <c r="G39" s="17" t="n"/>
      <c r="H39" s="17" t="n"/>
      <c r="I39" s="17" t="n"/>
      <c r="J39" s="17" t="n"/>
      <c r="K39" s="19" t="inlineStr">
        <is>
          <t>National chain; all-access memberships + packs. Varies by studio.</t>
        </is>
      </c>
      <c r="L39" s="17" t="inlineStr">
        <is>
          <t>corepoweryoga.com</t>
        </is>
      </c>
      <c r="M39" s="21" t="inlineStr">
        <is>
          <t>Need price</t>
        </is>
      </c>
    </row>
    <row r="40" ht="15" customHeight="1" s="15">
      <c r="A40" s="17" t="n">
        <v>39</v>
      </c>
      <c r="B40" s="17" t="inlineStr">
        <is>
          <t>Club Pilates (multiple)</t>
        </is>
      </c>
      <c r="C40" s="17" t="inlineStr">
        <is>
          <t>South / SoCo</t>
        </is>
      </c>
      <c r="D40" s="17" t="inlineStr">
        <is>
          <t>Pilates</t>
        </is>
      </c>
      <c r="E40" s="22" t="inlineStr">
        <is>
          <t>Manual</t>
        </is>
      </c>
      <c r="F40" s="17" t="n"/>
      <c r="G40" s="17" t="n"/>
      <c r="H40" s="17" t="n"/>
      <c r="I40" s="17" t="n"/>
      <c r="J40" s="17" t="n"/>
      <c r="K40" s="19" t="inlineStr">
        <is>
          <t>Franchise; 4/8/unlimited packs. Call nearest studio.</t>
        </is>
      </c>
      <c r="L40" s="17" t="inlineStr">
        <is>
          <t>clubpilates.com</t>
        </is>
      </c>
      <c r="M40" s="21" t="inlineStr">
        <is>
          <t>Need price</t>
        </is>
      </c>
    </row>
    <row r="41" ht="15" customHeight="1" s="15">
      <c r="A41" s="17" t="n">
        <v>40</v>
      </c>
      <c r="B41" s="17" t="inlineStr">
        <is>
          <t>10th Planet Jiu Jitsu Austin</t>
        </is>
      </c>
      <c r="C41" s="17" t="inlineStr">
        <is>
          <t>East Austin</t>
        </is>
      </c>
      <c r="D41" s="17" t="inlineStr">
        <is>
          <t>BJJ / MMA</t>
        </is>
      </c>
      <c r="E41" s="22" t="inlineStr">
        <is>
          <t>Manual</t>
        </is>
      </c>
      <c r="F41" s="17" t="n"/>
      <c r="G41" s="17" t="n"/>
      <c r="H41" s="17" t="n"/>
      <c r="I41" s="17" t="n"/>
      <c r="J41" s="17" t="n"/>
      <c r="K41" s="19" t="inlineStr">
        <is>
          <t>BJJ memberships rarely public. Call.</t>
        </is>
      </c>
      <c r="L41" s="17" t="inlineStr">
        <is>
          <t>10thplanetaustin.com</t>
        </is>
      </c>
      <c r="M41" s="21" t="inlineStr">
        <is>
          <t>Need price</t>
        </is>
      </c>
    </row>
    <row r="42">
      <c r="A42" s="14" t="n">
        <v>41</v>
      </c>
      <c r="B42" s="14" t="inlineStr">
        <is>
          <t>24 Hour Fitness Hancock Center</t>
        </is>
      </c>
      <c r="C42" s="14" t="inlineStr">
        <is>
          <t>Hyde Park / Hancock</t>
        </is>
      </c>
      <c r="D42" s="14" t="inlineStr">
        <is>
          <t>Gym / weights</t>
        </is>
      </c>
      <c r="E42" s="14" t="inlineStr">
        <is>
          <t>Scrape</t>
        </is>
      </c>
      <c r="K42" s="14" t="inlineStr">
        <is>
          <t>Split from old row 32. clubId 00372. Rates behind POS redirect.</t>
        </is>
      </c>
      <c r="L42" s="14" t="inlineStr">
        <is>
          <t>24hourfitness.com</t>
        </is>
      </c>
      <c r="M42" s="14" t="inlineStr">
        <is>
          <t>Need price</t>
        </is>
      </c>
    </row>
    <row r="43" ht="15" customHeight="1" s="15">
      <c r="A43" s="14" t="n">
        <v>42</v>
      </c>
      <c r="B43" s="23" t="inlineStr">
        <is>
          <t>24 Hour Fitness Austin Sport (Research Blvd)</t>
        </is>
      </c>
      <c r="C43" s="14" t="inlineStr">
        <is>
          <t>The Domain / Arboretum</t>
        </is>
      </c>
      <c r="D43" s="14" t="inlineStr">
        <is>
          <t>Gym / weights</t>
        </is>
      </c>
      <c r="E43" s="14" t="inlineStr">
        <is>
          <t>Scrape</t>
        </is>
      </c>
      <c r="K43" s="14" t="inlineStr">
        <is>
          <t>Split from old row 32. clubId 00202. Rates behind POS redirect.</t>
        </is>
      </c>
      <c r="L43" s="14" t="inlineStr">
        <is>
          <t>24hourfitness.com</t>
        </is>
      </c>
      <c r="M43" s="14" t="inlineStr">
        <is>
          <t>Need price</t>
        </is>
      </c>
    </row>
    <row r="44" ht="15" customHeight="1" s="15">
      <c r="A44" s="14" t="n">
        <v>43</v>
      </c>
      <c r="B44" s="24" t="inlineStr">
        <is>
          <t>LA Fitness S. Lamar</t>
        </is>
      </c>
      <c r="C44" s="25" t="inlineStr">
        <is>
          <t>South / SoCo</t>
        </is>
      </c>
      <c r="D44" s="14" t="inlineStr">
        <is>
          <t>Gym / weights</t>
        </is>
      </c>
      <c r="E44" s="14" t="inlineStr">
        <is>
          <t>Scrape</t>
        </is>
      </c>
      <c r="F44" s="14" t="n">
        <v>31.99</v>
      </c>
      <c r="G44" s="14" t="n">
        <v>0</v>
      </c>
      <c r="H44" s="14" t="n">
        <v>69</v>
      </c>
      <c r="K44" s="14" t="inlineStr">
        <is>
          <t>NEW row. 4001 S Lamar Blvd 78704, clubid 1036. Restores the count to 41.</t>
        </is>
      </c>
      <c r="L44" s="14" t="inlineStr">
        <is>
          <t>lafitness.com</t>
        </is>
      </c>
      <c r="M44" s="14" t="inlineStr">
        <is>
          <t>CONFIRMED 2026-08-18</t>
        </is>
      </c>
    </row>
    <row r="45" ht="15" customHeight="1" s="15">
      <c r="B45" s="24" t="inlineStr">
        <is>
          <t>Scrapeable:</t>
        </is>
      </c>
      <c r="C45" s="25">
        <f>COUNTIF(E2:E41,"Scrape")</f>
        <v/>
      </c>
    </row>
    <row r="46" ht="15" customHeight="1" s="15">
      <c r="B46" s="24" t="inlineStr">
        <is>
          <t>Manual collection:</t>
        </is>
      </c>
      <c r="C46" s="25">
        <f>COUNTIF(E2:E41,"Manual")</f>
        <v/>
      </c>
    </row>
    <row r="47" ht="15" customHeight="1" s="15">
      <c r="B47" s="24" t="inlineStr">
        <is>
          <t>Prices already in hand:</t>
        </is>
      </c>
      <c r="C47" s="25">
        <f>COUNTIF(M2:M41,"Have price")</f>
        <v/>
      </c>
    </row>
    <row r="48" ht="15" customHeight="1" s="15">
      <c r="B48" s="24" t="inlineStr">
        <is>
          <t>Prices still needed:</t>
        </is>
      </c>
      <c r="C48" s="25">
        <f>COUNTIF(M2:M41,"Need price")</f>
        <v/>
      </c>
    </row>
    <row r="49"/>
    <row r="50" ht="15" customHeight="1" s="15">
      <c r="B50" s="26" t="inlineStr">
        <is>
          <t>All prices sourced from public gym websites + press coverage, Aug 2026 research. VERIFY EVERY NUMBER against the gym's live site before launch — several are 2023-era or estimated (flagged in notes).</t>
        </is>
      </c>
    </row>
    <row r="51"/>
    <row r="52" ht="15" customHeight="1" s="15">
      <c r="B52" s="23" t="inlineStr">
        <is>
          <t>LEGEND</t>
        </is>
      </c>
    </row>
    <row r="53" ht="15" customHeight="1" s="15">
      <c r="B53" s="26" t="inlineStr">
        <is>
          <t>Data Source = Scrape: prices are public on the gym's website; a Firecrawl job can pull them automatically.</t>
        </is>
      </c>
    </row>
    <row r="54" ht="15" customHeight="1" s="15">
      <c r="B54" s="26" t="inlineStr">
        <is>
          <t>Data Source = Manual: pricing is consult-gated; collect once by phone/email/visit, keep fresh via user reports.</t>
        </is>
      </c>
    </row>
    <row r="55" ht="15" customHeight="1" s="15">
      <c r="B55" s="26" t="inlineStr">
        <is>
          <t>Fill in orange 'Need price' cells as you collect. Monthly = cheapest standard ADULT plan, before fees.</t>
        </is>
      </c>
    </row>
    <row r="56" ht="15" customHeight="1" s="15">
      <c r="B56" s="26" t="inlineStr">
        <is>
          <t>Commitment: contract length on the cheapest plan. Day Pass: single-visit walk-in rate.</t>
        </is>
      </c>
    </row>
  </sheetData>
  <mergeCells count="5">
    <mergeCell ref="B50:K50"/>
    <mergeCell ref="B56:K56"/>
    <mergeCell ref="B53:K53"/>
    <mergeCell ref="B55:K55"/>
    <mergeCell ref="B54:K5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4" min="1" max="1"/>
    <col width="34" customWidth="1" style="14" min="2" max="2"/>
    <col width="44" customWidth="1" style="14" min="3" max="3"/>
    <col width="12" customWidth="1" style="14" min="4" max="4"/>
    <col width="50" customWidth="1" style="14" min="5" max="5"/>
  </cols>
  <sheetData>
    <row r="1" ht="15" customHeight="1" s="15">
      <c r="A1" s="27" t="inlineStr">
        <is>
          <t>Scraper</t>
        </is>
      </c>
      <c r="B1" s="27" t="inlineStr">
        <is>
          <t>Covers (gyms in seed)</t>
        </is>
      </c>
      <c r="C1" s="27" t="inlineStr">
        <is>
          <t>Pricing URL pattern</t>
        </is>
      </c>
      <c r="D1" s="27" t="inlineStr">
        <is>
          <t>Complexity</t>
        </is>
      </c>
      <c r="E1" s="27" t="inlineStr">
        <is>
          <t>Notes</t>
        </is>
      </c>
    </row>
    <row r="2" ht="23.85" customHeight="1" s="15">
      <c r="A2" s="19" t="inlineStr">
        <is>
          <t>planetfitness</t>
        </is>
      </c>
      <c r="B2" s="19" t="inlineStr">
        <is>
          <t>Planet Fitness (all ATX clubs)</t>
        </is>
      </c>
      <c r="C2" s="19" t="inlineStr">
        <is>
          <t>planetfitness.com/gyms/{club-slug}/offers</t>
        </is>
      </c>
      <c r="D2" s="19" t="inlineStr">
        <is>
          <t>Low</t>
        </is>
      </c>
      <c r="E2" s="19" t="inlineStr">
        <is>
          <t>Per-club offers page; fees itemized in FAQ accordions. One scraper covers every location.</t>
        </is>
      </c>
    </row>
    <row r="3" ht="23.85" customHeight="1" s="15">
      <c r="A3" s="19" t="inlineStr">
        <is>
          <t>crunch</t>
        </is>
      </c>
      <c r="B3" s="19" t="inlineStr">
        <is>
          <t>Crunch (South Austin + future I-35)</t>
        </is>
      </c>
      <c r="C3" s="19" t="inlineStr">
        <is>
          <t>crunch.com/locations/{slug}</t>
        </is>
      </c>
      <c r="D3" s="19" t="inlineStr">
        <is>
          <t>Medium</t>
        </is>
      </c>
      <c r="E3" s="19" t="inlineStr">
        <is>
          <t>Tier prices sometimes JS-rendered; Firecrawl handles. Enrollment/annual fees in fine print.</t>
        </is>
      </c>
    </row>
    <row r="4" ht="23.85" customHeight="1" s="15">
      <c r="A4" s="19" t="inlineStr">
        <is>
          <t>goldsgym</t>
        </is>
      </c>
      <c r="B4" s="19" t="inlineStr">
        <is>
          <t>Gold's Downtown + Burnet</t>
        </is>
      </c>
      <c r="C4" s="19" t="inlineStr">
        <is>
          <t>goldsgym.com club pages</t>
        </is>
      </c>
      <c r="D4" s="19" t="inlineStr">
        <is>
          <t>Medium</t>
        </is>
      </c>
      <c r="E4" s="19" t="inlineStr">
        <is>
          <t>Franchise site; pricing sometimes behind 'join now' flow — scrape the checkout preview.</t>
        </is>
      </c>
    </row>
    <row r="5" ht="15" customHeight="1" s="15">
      <c r="A5" s="19" t="inlineStr">
        <is>
          <t>lifetime</t>
        </is>
      </c>
      <c r="B5" s="19" t="inlineStr">
        <is>
          <t>Life Time x4 (DT/N/S/Arboretum)</t>
        </is>
      </c>
      <c r="C5" s="19" t="inlineStr">
        <is>
          <t>lifetime.life/locations/tx/{slug}.html</t>
        </is>
      </c>
      <c r="D5" s="19" t="inlineStr">
        <is>
          <t>Low</t>
        </is>
      </c>
      <c r="E5" s="19" t="inlineStr">
        <is>
          <t>Publishes starting rate in FAQ text. Clean.</t>
        </is>
      </c>
    </row>
    <row r="6" ht="15" customHeight="1" s="15">
      <c r="A6" s="19" t="inlineStr">
        <is>
          <t>24hour</t>
        </is>
      </c>
      <c r="B6" s="19" t="inlineStr">
        <is>
          <t>24 Hour Fitness Austin Sport</t>
        </is>
      </c>
      <c r="C6" s="19" t="inlineStr">
        <is>
          <t>24hourfitness.com/gyms/austin-tx/</t>
        </is>
      </c>
      <c r="D6" s="19" t="inlineStr">
        <is>
          <t>Medium</t>
        </is>
      </c>
      <c r="E6" s="19" t="inlineStr">
        <is>
          <t>Tier pricing + $49.99-69.99 annual fee in offer fine print.</t>
        </is>
      </c>
    </row>
    <row r="7" ht="23.85" customHeight="1" s="15">
      <c r="A7" s="19" t="inlineStr">
        <is>
          <t>ymca</t>
        </is>
      </c>
      <c r="B7" s="19" t="inlineStr">
        <is>
          <t>Greater Austin YMCA (all branches)</t>
        </is>
      </c>
      <c r="C7" s="19" t="inlineStr">
        <is>
          <t>austinymca.org/join</t>
        </is>
      </c>
      <c r="D7" s="19" t="inlineStr">
        <is>
          <t>Medium</t>
        </is>
      </c>
      <c r="E7" s="19" t="inlineStr">
        <is>
          <t>Rate calculator — may need to scrape the ranges ($25-114) + per-branch table if exposed.</t>
        </is>
      </c>
    </row>
    <row r="8" ht="15" customHeight="1" s="15">
      <c r="A8" s="19" t="inlineStr">
        <is>
          <t>lacampeones</t>
        </is>
      </c>
      <c r="B8" s="19" t="inlineStr">
        <is>
          <t>Los Campeones N+S</t>
        </is>
      </c>
      <c r="C8" s="19" t="inlineStr">
        <is>
          <t>loscampeonesaustin.com/austin-gym-memberships</t>
        </is>
      </c>
      <c r="D8" s="19" t="inlineStr">
        <is>
          <t>Low</t>
        </is>
      </c>
      <c r="E8" s="19" t="inlineStr">
        <is>
          <t>Flat $89 published in page copy.</t>
        </is>
      </c>
    </row>
    <row r="9" ht="23.85" customHeight="1" s="15">
      <c r="A9" s="19" t="inlineStr">
        <is>
          <t>bigtex</t>
        </is>
      </c>
      <c r="B9" s="19" t="inlineStr">
        <is>
          <t>Big Tex Gym</t>
        </is>
      </c>
      <c r="C9" s="19" t="inlineStr">
        <is>
          <t>bigtexgym.com/membership</t>
        </is>
      </c>
      <c r="D9" s="19" t="inlineStr">
        <is>
          <t>Low</t>
        </is>
      </c>
      <c r="E9" s="19" t="inlineStr">
        <is>
          <t>All fees published incl. 75-day maintenance fee timing. Model citizen.</t>
        </is>
      </c>
    </row>
    <row r="10" ht="23.85" customHeight="1" s="15">
      <c r="A10" s="19" t="inlineStr">
        <is>
          <t>castlehill</t>
        </is>
      </c>
      <c r="B10" s="19" t="inlineStr">
        <is>
          <t>Castle Hill Fitness</t>
        </is>
      </c>
      <c r="C10" s="19" t="inlineStr">
        <is>
          <t>castlehillfitness.com/memberships</t>
        </is>
      </c>
      <c r="D10" s="19" t="inlineStr">
        <is>
          <t>Medium</t>
        </is>
      </c>
      <c r="E10" s="19" t="inlineStr">
        <is>
          <t>Tier range + enrollment promo state changes seasonally — scrape captures promo text.</t>
        </is>
      </c>
    </row>
    <row r="11" ht="15" customHeight="1" s="15">
      <c r="A11" s="19" t="inlineStr">
        <is>
          <t>hydepark</t>
        </is>
      </c>
      <c r="B11" s="19" t="inlineStr">
        <is>
          <t>Hyde Park Gym</t>
        </is>
      </c>
      <c r="C11" s="19" t="inlineStr">
        <is>
          <t>hydeparkgym.com/membership-info</t>
        </is>
      </c>
      <c r="D11" s="19" t="inlineStr">
        <is>
          <t>Low</t>
        </is>
      </c>
      <c r="E11" s="19" t="inlineStr">
        <is>
          <t>Simple rate card page.</t>
        </is>
      </c>
    </row>
    <row r="12" ht="15" customHeight="1" s="15">
      <c r="A12" s="19" t="inlineStr">
        <is>
          <t>eaac</t>
        </is>
      </c>
      <c r="B12" s="19" t="inlineStr">
        <is>
          <t>East Austin Athletic Club</t>
        </is>
      </c>
      <c r="C12" s="19" t="inlineStr">
        <is>
          <t>eastaustinathleticclub.com/prices-1</t>
        </is>
      </c>
      <c r="D12" s="19" t="inlineStr">
        <is>
          <t>Low</t>
        </is>
      </c>
      <c r="E12" s="19" t="inlineStr">
        <is>
          <t>$159 unlimited published.</t>
        </is>
      </c>
    </row>
    <row r="13" ht="23.85" customHeight="1" s="15">
      <c r="A13" s="19" t="inlineStr">
        <is>
          <t>crux</t>
        </is>
      </c>
      <c r="B13" s="19" t="inlineStr">
        <is>
          <t>Crux Climbing S. Austin</t>
        </is>
      </c>
      <c r="C13" s="19" t="inlineStr">
        <is>
          <t>cruxclimbingcenter.com/south-austin/rates</t>
        </is>
      </c>
      <c r="D13" s="19" t="inlineStr">
        <is>
          <t>Medium</t>
        </is>
      </c>
      <c r="E13" s="19" t="inlineStr">
        <is>
          <t>Membership + add-ons (gear $23/mo, locker $10/mo) — schema needs add-on rows.</t>
        </is>
      </c>
    </row>
    <row r="14" ht="15" customHeight="1" s="15">
      <c r="A14" s="19" t="inlineStr">
        <is>
          <t>abp</t>
        </is>
      </c>
      <c r="B14" s="19" t="inlineStr">
        <is>
          <t>Austin Bouldering Project</t>
        </is>
      </c>
      <c r="C14" s="19" t="inlineStr">
        <is>
          <t>austinboulderingproject.com</t>
        </is>
      </c>
      <c r="D14" s="19" t="inlineStr">
        <is>
          <t>Medium</t>
        </is>
      </c>
      <c r="E14" s="19" t="inlineStr">
        <is>
          <t>Tiers on site; verify structure.</t>
        </is>
      </c>
    </row>
    <row r="15" ht="15" customHeight="1" s="15">
      <c r="A15" s="19" t="inlineStr">
        <is>
          <t>lafitness</t>
        </is>
      </c>
      <c r="B15" s="19" t="inlineStr">
        <is>
          <t>LA Fitness (Domain)</t>
        </is>
      </c>
      <c r="C15" s="19" t="inlineStr">
        <is>
          <t>lafitness.com club pages</t>
        </is>
      </c>
      <c r="D15" s="19" t="inlineStr">
        <is>
          <t>Medium</t>
        </is>
      </c>
      <c r="E15" s="19" t="inlineStr">
        <is>
          <t>Zip-gated pricing widget; may need location param.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4" min="1" max="1"/>
    <col width="16" customWidth="1" style="14" min="2" max="2"/>
    <col width="52" customWidth="1" style="14" min="3" max="3"/>
    <col width="26" customWidth="1" style="14" min="4" max="4"/>
    <col width="14" customWidth="1" style="14" min="5" max="6"/>
  </cols>
  <sheetData>
    <row r="1" ht="15" customHeight="1" s="15">
      <c r="A1" s="27" t="inlineStr">
        <is>
          <t>Gym</t>
        </is>
      </c>
      <c r="B1" s="27" t="inlineStr">
        <is>
          <t>Region</t>
        </is>
      </c>
      <c r="C1" s="27" t="inlineStr">
        <is>
          <t>What to ask</t>
        </is>
      </c>
      <c r="D1" s="27" t="inlineStr">
        <is>
          <t>Phone/contact route</t>
        </is>
      </c>
      <c r="E1" s="27" t="inlineStr">
        <is>
          <t>Collected? (Y/N)</t>
        </is>
      </c>
      <c r="F1" s="27" t="inlineStr">
        <is>
          <t>Price found</t>
        </is>
      </c>
    </row>
    <row r="2" ht="23.85" customHeight="1" s="15">
      <c r="A2" s="19" t="inlineStr">
        <is>
          <t>Equinox Austin (SoCo)</t>
        </is>
      </c>
      <c r="B2" s="19" t="inlineStr">
        <is>
          <t>Downtown</t>
        </is>
      </c>
      <c r="C2" s="19" t="inlineStr">
        <is>
          <t>Monthly rate (cheapest adult), enrollment fee, annual fee, contract length, day pass price</t>
        </is>
      </c>
      <c r="D2" s="19" t="inlineStr">
        <is>
          <t>Front desk / membership advisor</t>
        </is>
      </c>
      <c r="E2" s="28" t="inlineStr">
        <is>
          <t>N</t>
        </is>
      </c>
    </row>
    <row r="3" ht="15" customHeight="1" s="15">
      <c r="A3" s="19" t="inlineStr">
        <is>
          <t>Barry's Austin</t>
        </is>
      </c>
      <c r="B3" s="19" t="inlineStr">
        <is>
          <t>Downtown</t>
        </is>
      </c>
      <c r="C3" s="19" t="inlineStr">
        <is>
          <t>Class pack prices (5/10/20), unlimited monthly, intro offer</t>
        </is>
      </c>
      <c r="D3" s="19" t="inlineStr">
        <is>
          <t>Studio front desk</t>
        </is>
      </c>
      <c r="E3" s="28" t="inlineStr">
        <is>
          <t>N</t>
        </is>
      </c>
    </row>
    <row r="4" ht="15" customHeight="1" s="15">
      <c r="A4" s="19" t="inlineStr">
        <is>
          <t>Studio Three</t>
        </is>
      </c>
      <c r="B4" s="19" t="inlineStr">
        <is>
          <t>Downtown</t>
        </is>
      </c>
      <c r="C4" s="19" t="inlineStr">
        <is>
          <t>Same as Barry's — pack + unlimited across 3 studios</t>
        </is>
      </c>
      <c r="D4" s="19" t="inlineStr">
        <is>
          <t>Studio front desk</t>
        </is>
      </c>
      <c r="E4" s="28" t="inlineStr">
        <is>
          <t>N</t>
        </is>
      </c>
    </row>
    <row r="5" ht="23.85" customHeight="1" s="15">
      <c r="A5" s="19" t="inlineStr">
        <is>
          <t>F45 Downtown</t>
        </is>
      </c>
      <c r="B5" s="19" t="inlineStr">
        <is>
          <t>Downtown</t>
        </is>
      </c>
      <c r="C5" s="19" t="inlineStr">
        <is>
          <t>Monthly rate (cheapest adult), enrollment fee, annual fee, contract length, day pass price</t>
        </is>
      </c>
      <c r="D5" s="19" t="inlineStr">
        <is>
          <t>Studio owner (franchise)</t>
        </is>
      </c>
      <c r="E5" s="28" t="inlineStr">
        <is>
          <t>N</t>
        </is>
      </c>
    </row>
    <row r="6" ht="15" customHeight="1" s="15">
      <c r="A6" s="19" t="inlineStr">
        <is>
          <t>[solidcore]</t>
        </is>
      </c>
      <c r="B6" s="19" t="inlineStr">
        <is>
          <t>Downtown</t>
        </is>
      </c>
      <c r="C6" s="19" t="inlineStr">
        <is>
          <t>Class pack + unlimited pricing</t>
        </is>
      </c>
      <c r="D6" s="19" t="inlineStr">
        <is>
          <t>Studio front desk</t>
        </is>
      </c>
      <c r="E6" s="28" t="inlineStr">
        <is>
          <t>N</t>
        </is>
      </c>
    </row>
    <row r="7" ht="23.85" customHeight="1" s="15">
      <c r="A7" s="19" t="inlineStr">
        <is>
          <t>FeV Iron Vault</t>
        </is>
      </c>
      <c r="B7" s="19" t="inlineStr">
        <is>
          <t>Downtown</t>
        </is>
      </c>
      <c r="C7" s="19" t="inlineStr">
        <is>
          <t>Monthly rate (cheapest adult), enrollment fee, annual fee, contract length, day pass price</t>
        </is>
      </c>
      <c r="D7" s="19" t="inlineStr">
        <is>
          <t>Front desk</t>
        </is>
      </c>
      <c r="E7" s="28" t="inlineStr">
        <is>
          <t>N</t>
        </is>
      </c>
    </row>
    <row r="8" ht="23.85" customHeight="1" s="15">
      <c r="A8" s="19" t="inlineStr">
        <is>
          <t>Kollective</t>
        </is>
      </c>
      <c r="B8" s="19" t="inlineStr">
        <is>
          <t>South / SoCo</t>
        </is>
      </c>
      <c r="C8" s="19" t="inlineStr">
        <is>
          <t>Current monthly rate, initiation fee, application process</t>
        </is>
      </c>
      <c r="D8" s="19" t="inlineStr">
        <is>
          <t>Membership team — expect sales flow</t>
        </is>
      </c>
      <c r="E8" s="28" t="inlineStr">
        <is>
          <t>N</t>
        </is>
      </c>
    </row>
    <row r="9" ht="15" customHeight="1" s="15">
      <c r="A9" s="19" t="inlineStr">
        <is>
          <t>Atomic Athlete</t>
        </is>
      </c>
      <c r="B9" s="19" t="inlineStr">
        <is>
          <t>South / SoCo</t>
        </is>
      </c>
      <c r="C9" s="19" t="inlineStr">
        <is>
          <t>Open-gym vs class membership tiers</t>
        </is>
      </c>
      <c r="D9" s="19" t="inlineStr">
        <is>
          <t>Email listed on site</t>
        </is>
      </c>
      <c r="E9" s="28" t="inlineStr">
        <is>
          <t>N</t>
        </is>
      </c>
    </row>
    <row r="10" ht="15" customHeight="1" s="15">
      <c r="A10" s="19" t="inlineStr">
        <is>
          <t>CrossFit Austin</t>
        </is>
      </c>
      <c r="B10" s="19" t="inlineStr">
        <is>
          <t>South / SoCo</t>
        </is>
      </c>
      <c r="C10" s="19" t="inlineStr">
        <is>
          <t>Unlimited monthly, 2-3x/week tier, drop-in rate</t>
        </is>
      </c>
      <c r="D10" s="19" t="inlineStr">
        <is>
          <t>Front desk</t>
        </is>
      </c>
      <c r="E10" s="28" t="inlineStr">
        <is>
          <t>N</t>
        </is>
      </c>
    </row>
    <row r="11" ht="15" customHeight="1" s="15">
      <c r="A11" s="19" t="inlineStr">
        <is>
          <t>Rumble Boxing</t>
        </is>
      </c>
      <c r="B11" s="19" t="inlineStr">
        <is>
          <t>South / SoCo</t>
        </is>
      </c>
      <c r="C11" s="19" t="inlineStr">
        <is>
          <t>Pack + unlimited pricing</t>
        </is>
      </c>
      <c r="D11" s="19" t="inlineStr">
        <is>
          <t>Studio front desk</t>
        </is>
      </c>
      <c r="E11" s="28" t="inlineStr">
        <is>
          <t>N</t>
        </is>
      </c>
    </row>
    <row r="12" ht="15" customHeight="1" s="15">
      <c r="A12" s="19" t="inlineStr">
        <is>
          <t>Orangetheory</t>
        </is>
      </c>
      <c r="B12" s="19" t="inlineStr">
        <is>
          <t>Mueller</t>
        </is>
      </c>
      <c r="C12" s="19" t="inlineStr">
        <is>
          <t>Basic (4)/Elite (8)/Premier (unlimited) monthly rates</t>
        </is>
      </c>
      <c r="D12" s="19" t="inlineStr">
        <is>
          <t>Studio front desk</t>
        </is>
      </c>
      <c r="E12" s="28" t="inlineStr">
        <is>
          <t>N</t>
        </is>
      </c>
    </row>
    <row r="13" ht="23.85" customHeight="1" s="15">
      <c r="A13" s="19" t="inlineStr">
        <is>
          <t>Korrect Fitness (ex-Onnit)</t>
        </is>
      </c>
      <c r="B13" s="19" t="inlineStr">
        <is>
          <t>East Austin</t>
        </is>
      </c>
      <c r="C13" s="19" t="inlineStr">
        <is>
          <t>Monthly rate (cheapest adult), enrollment fee, annual fee, contract length, day pass price</t>
        </is>
      </c>
      <c r="D13" s="19" t="inlineStr">
        <is>
          <t>Front desk — confirm rebrand</t>
        </is>
      </c>
      <c r="E13" s="28" t="inlineStr">
        <is>
          <t>N</t>
        </is>
      </c>
    </row>
    <row r="14" ht="15" customHeight="1" s="15">
      <c r="A14" s="19" t="inlineStr">
        <is>
          <t>10th Planet Jiu Jitsu</t>
        </is>
      </c>
      <c r="B14" s="19" t="inlineStr">
        <is>
          <t>East Austin</t>
        </is>
      </c>
      <c r="C14" s="19" t="inlineStr">
        <is>
          <t>Monthly unlimited, contract terms, drop-in</t>
        </is>
      </c>
      <c r="D14" s="19" t="inlineStr">
        <is>
          <t>Front desk</t>
        </is>
      </c>
      <c r="E14" s="28" t="inlineStr">
        <is>
          <t>N</t>
        </is>
      </c>
    </row>
    <row r="15" ht="15" customHeight="1" s="15">
      <c r="A15" s="19" t="inlineStr">
        <is>
          <t>Club Pilates</t>
        </is>
      </c>
      <c r="B15" s="19" t="inlineStr">
        <is>
          <t>South / SoCo</t>
        </is>
      </c>
      <c r="C15" s="19" t="inlineStr">
        <is>
          <t>4/8/unlimited monthly tiers</t>
        </is>
      </c>
      <c r="D15" s="19" t="inlineStr">
        <is>
          <t>Studio front desk</t>
        </is>
      </c>
      <c r="E15" s="28" t="inlineStr">
        <is>
          <t>N</t>
        </is>
      </c>
    </row>
    <row r="16" ht="15" customHeight="1" s="15">
      <c r="A16" s="19" t="inlineStr">
        <is>
          <t>CorePower Yoga</t>
        </is>
      </c>
      <c r="B16" s="19" t="inlineStr">
        <is>
          <t>Downtown</t>
        </is>
      </c>
      <c r="C16" s="19" t="inlineStr">
        <is>
          <t>All-access monthly + pack pricing</t>
        </is>
      </c>
      <c r="D16" s="19" t="inlineStr">
        <is>
          <t>Studio front desk</t>
        </is>
      </c>
      <c r="E16" s="28" t="inlineStr">
        <is>
          <t>N</t>
        </is>
      </c>
    </row>
    <row r="17" ht="23.85" customHeight="1" s="15">
      <c r="A17" s="19" t="inlineStr">
        <is>
          <t>Anytime Fitness N. Loop</t>
        </is>
      </c>
      <c r="B17" s="19" t="inlineStr">
        <is>
          <t>Hyde Park</t>
        </is>
      </c>
      <c r="C17" s="19" t="inlineStr">
        <is>
          <t>Monthly rate (cheapest adult), enrollment fee, annual fee, contract length, day pass price</t>
        </is>
      </c>
      <c r="D17" s="19" t="inlineStr">
        <is>
          <t>Club owner (franchise)</t>
        </is>
      </c>
      <c r="E17" s="28" t="inlineStr">
        <is>
          <t>N</t>
        </is>
      </c>
    </row>
    <row r="19" ht="15" customHeight="1" s="15">
      <c r="A19" s="26" t="inlineStr">
        <is>
          <t>Tip: visiting in person and asking for a rate sheet works better than calling — gyms deflect price questions on the phone. Day passes double as data-collection visits.</t>
        </is>
      </c>
    </row>
  </sheetData>
  <mergeCells count="1">
    <mergeCell ref="A19:F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2026-08-18T14:36:59Z</dcterms:created>
  <dcterms:modified xsi:type="dcterms:W3CDTF">2026-08-18T18:30:11Z</dcterms:modified>
  <cp:revision>0</cp:revision>
</cp:coreProperties>
</file>